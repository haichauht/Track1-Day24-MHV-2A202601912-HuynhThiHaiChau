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Assumptions" sheetId="1" state="visible" r:id="rId3"/>
    <sheet name="2. Unit Economics" sheetId="2" state="visible" r:id="rId4"/>
    <sheet name="3. P&amp;L &amp; ROI" sheetId="3" state="visible" r:id="rId5"/>
  </sheets>
  <definedNames>
    <definedName function="false" hidden="false" localSheetId="0" name="_xlnm.Print_Area" vbProcedure="false">'1. Assumptions'!$B$2:$G$41</definedName>
    <definedName function="false" hidden="false" localSheetId="1" name="_xlnm.Print_Area" vbProcedure="false">'2. Unit Economics'!$B$2:$G$48</definedName>
    <definedName function="false" hidden="false" localSheetId="2" name="_xlnm.Print_Area" vbProcedure="false">'3. P&amp;L &amp; ROI'!$B$20:$AA$33,'3. P&amp;L &amp; ROI'!$B$36:$J$44</definedName>
    <definedName function="false" hidden="false" localSheetId="2" name="_xlnm.Print_Titles" vbProcedure="false">'3. P&amp;L &amp; ROI'!$B:$B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Huỳnh Thị Hải Châu</author>
  </authors>
  <commentList>
    <comment ref="D7" authorId="0">
      <text>
        <r>
          <rPr>
            <sz val="10"/>
            <rFont val="Arial"/>
            <family val="2"/>
          </rPr>
          <t xml:space="preserve">Assumption: hybrid B2B price = 9M VND platform fee + 1.5M average usage. Owner: Product/Finance | Date: 2026-08-26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2</xdr:rowOff>
              </xdr:from>
              <xdr:to>
                <xdr:col>2</xdr:col>
                <xdr:colOff>-197</xdr:colOff>
                <xdr:row>1</xdr:row>
                <xdr:rowOff>19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Planning assumption: Optimistic 0.5%, Base 0.3%, Pessimistic 0.1% monthly adoption; all three cases stay within the 0.1%-0.5% range in the Day 24 brief.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2</xdr:rowOff>
              </xdr:from>
              <xdr:to>
                <xdr:col>2</xdr:col>
                <xdr:colOff>-197</xdr:colOff>
                <xdr:row>1</xdr:row>
                <xdr:rowOff>19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Planning assumption: 10,000 automotive retail locations in the broader Southeast Asia market, set at the lower bound required by the Day 24 lab. VinFast's 394 global showrooms as of 2025-06-30 are treated as the initial beachhead, not the entire TAM. https://vinfastauto.com/vn_en/vinfast-reports-unaudited-second-quarter-2025-financial-results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2</xdr:rowOff>
              </xdr:from>
              <xdr:to>
                <xdr:col>2</xdr:col>
                <xdr:colOff>-197</xdr:colOff>
                <xdr:row>1</xdr:row>
                <xdr:rowOff>19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Source benchmark: OpenAI API pricing, accessed 2026-08-26. Actual cost remains usage-sensitive. https://platform.openai.com/pricing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2</xdr:rowOff>
              </xdr:from>
              <xdr:to>
                <xdr:col>2</xdr:col>
                <xdr:colOff>-197</xdr:colOff>
                <xdr:row>1</xdr:row>
                <xdr:rowOff>19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Source: Day24 handbook plus a16z AI economics guidance on cloud, labeling and human-in-the-loop costs. https://a16z.com/the-new-business-of-ai-and-how-its-different-from-traditional-software/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2</xdr:rowOff>
              </xdr:from>
              <xdr:to>
                <xdr:col>2</xdr:col>
                <xdr:colOff>-197</xdr:colOff>
                <xdr:row>1</xdr:row>
                <xdr:rowOff>19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Assumption: conservative B2B monthly churn for an early-stage product. Pessimistic shock is exactly 1.5x Base.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2</xdr:rowOff>
              </xdr:from>
              <xdr:to>
                <xdr:col>2</xdr:col>
                <xdr:colOff>-197</xdr:colOff>
                <xdr:row>1</xdr:row>
                <xdr:rowOff>19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Benchmark: Bessemer recommends CLTV/CAC 3x+ and SMB CAC payback below 12 months. https://www.bvp.com/assets/uploads/2021/09/scaling-to-100-million-by-mary-d-onofrio.pdf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2</xdr:rowOff>
              </xdr:from>
              <xdr:to>
                <xdr:col>2</xdr:col>
                <xdr:colOff>-197</xdr:colOff>
                <xdr:row>1</xdr:row>
                <xdr:rowOff>19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Planning assumption: 10B VND committed cash reserve. This is the minimum round-number envelope that keeps the Pessimistic runway above the 12-month gate in the 24-month stress test.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2</xdr:rowOff>
              </xdr:from>
              <xdr:to>
                <xdr:col>2</xdr:col>
                <xdr:colOff>-197</xdr:colOff>
                <xdr:row>1</xdr:row>
                <xdr:rowOff>19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Assumption: 22% annual hurdle rate for an early-stage AI product; scenario range 18%-25%.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2</xdr:rowOff>
              </xdr:from>
              <xdr:to>
                <xdr:col>2</xdr:col>
                <xdr:colOff>-197</xdr:colOff>
                <xdr:row>1</xdr:row>
                <xdr:rowOff>19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<sst xmlns="http://schemas.openxmlformats.org/spreadsheetml/2006/main" count="190" uniqueCount="172">
  <si>
    <t xml:space="preserve">Tab 1 — ASSUMPTIONS  /  Giả định đầu vào</t>
  </si>
  <si>
    <t xml:space="preserve">Luật chơi: chỉ điền vào các ô MÀU VÀNG. Các ô khác là công thức và sẽ tự tính.</t>
  </si>
  <si>
    <t xml:space="preserve">1. Product &amp; Pricing  /  Sản phẩm &amp; Giá</t>
  </si>
  <si>
    <t xml:space="preserve">Optimistic</t>
  </si>
  <si>
    <t xml:space="preserve">Base</t>
  </si>
  <si>
    <t xml:space="preserve">Pessimistic</t>
  </si>
  <si>
    <t xml:space="preserve">Đơn vị</t>
  </si>
  <si>
    <t xml:space="preserve">Ghi chú / Note</t>
  </si>
  <si>
    <t xml:space="preserve">ARPU — Giá bán bình quân/khách/tháng</t>
  </si>
  <si>
    <t xml:space="preserve">VND</t>
  </si>
  <si>
    <t xml:space="preserve">Hybrid B2B: phí nền tảng + phí usage; ARPU Base bình quân 10,5 triệu/showroom/tháng</t>
  </si>
  <si>
    <t xml:space="preserve">Adoption rate — % TAM chuyển thành khách/tháng</t>
  </si>
  <si>
    <t xml:space="preserve">%/tháng</t>
  </si>
  <si>
    <t xml:space="preserve">Tỷ lệ địa điểm trong TAM bắt đầu trả phí mới mỗi tháng: 0,5% / 0,3% / 0,1%, đúng dải của brief</t>
  </si>
  <si>
    <t xml:space="preserve">Total addressable market (số khách tiềm năng)</t>
  </si>
  <si>
    <t xml:space="preserve">khách</t>
  </si>
  <si>
    <t xml:space="preserve">Planning TAM 10.000 điểm bán ô tô tại Đông Nam Á; VinFast là beachhead, không phải toàn bộ TAM</t>
  </si>
  <si>
    <t xml:space="preserve">2. COGS  /  Chi phí biến đổi trên mỗi khách hàng</t>
  </si>
  <si>
    <t xml:space="preserve">API cost / khách / tháng</t>
  </si>
  <si>
    <t xml:space="preserve">Ngân sách model API/tool calls phân bổ theo một showroom mỗi tháng</t>
  </si>
  <si>
    <t xml:space="preserve">Hidden costs (labeling, retraining, QA)</t>
  </si>
  <si>
    <t xml:space="preserve">Labeling, retraining, human QA, monitoring và compliance; luôn &gt; 30% API cost</t>
  </si>
  <si>
    <t xml:space="preserve">Infrastructure (server/cloud) / khách</t>
  </si>
  <si>
    <t xml:space="preserve">Cloud, storage, observability và integration phân bổ theo showroom</t>
  </si>
  <si>
    <t xml:space="preserve">→ Tổng COGS / khách / tháng</t>
  </si>
  <si>
    <t xml:space="preserve">3. Customer Behavior  /  Hành vi khách hàng</t>
  </si>
  <si>
    <t xml:space="preserve">Monthly Churn Rate — % khách rời mỗi tháng</t>
  </si>
  <si>
    <t xml:space="preserve">%</t>
  </si>
  <si>
    <t xml:space="preserve">Base 3%/tháng để thận trọng; Pessimistic = 1,5x Base</t>
  </si>
  <si>
    <t xml:space="preserve">→ Số tháng ở lại trung bình</t>
  </si>
  <si>
    <t xml:space="preserve">4. Sales &amp; Marketing  /  Chi phí thu hút khách</t>
  </si>
  <si>
    <t xml:space="preserve">CAC — Tổng chi phí có 1 khách hàng mới</t>
  </si>
  <si>
    <t xml:space="preserve">Targeted enterprise sales qua mạng lưới đại lý; Pessimistic = 1,5x Base</t>
  </si>
  <si>
    <t xml:space="preserve">5. Fixed Costs  /  Chi phí cố định hàng tháng</t>
  </si>
  <si>
    <t xml:space="preserve">Salaries — Lương team (PM/Dev/Designer)</t>
  </si>
  <si>
    <t xml:space="preserve">VND/tháng</t>
  </si>
  <si>
    <t xml:space="preserve">Pessimistic giữ nguyên core team; Plan B cắt rollout và chi phí không thiết yếu</t>
  </si>
  <si>
    <t xml:space="preserve">Office, tools, admin</t>
  </si>
  <si>
    <t xml:space="preserve">Pessimistic cắt tool/ops không thiết yếu ngay khi trigger xuất hiện</t>
  </si>
  <si>
    <t xml:space="preserve">Marketing budget hàng tháng</t>
  </si>
  <si>
    <t xml:space="preserve">Brand/content baseline; CAC tại dòng 22 đã bao gồm chi phí acquisition theo khách mới</t>
  </si>
  <si>
    <t xml:space="preserve">→ Tổng Fixed Cost / tháng</t>
  </si>
  <si>
    <t xml:space="preserve">6. Initial Investment  /  Vốn đầu tư ban đầu</t>
  </si>
  <si>
    <t xml:space="preserve">Vốn đầu tư ban đầu (build MVP, setup)</t>
  </si>
  <si>
    <t xml:space="preserve">Chi phí một lần cho integration, hardening, security và rollout</t>
  </si>
  <si>
    <t xml:space="preserve">Tiền mặt ban đầu (sau khi đã trừ vốn đầu tư)</t>
  </si>
  <si>
    <t xml:space="preserve">Mô hình yêu cầu cam kết 10 tỷ VND tiền mặt để kịch bản xấu vẫn có runway trên 12 tháng</t>
  </si>
  <si>
    <t xml:space="preserve">7. Discount Rate  /  Tỷ suất chiết khấu (cho NPV)</t>
  </si>
  <si>
    <t xml:space="preserve">Annual discount rate (WACC)</t>
  </si>
  <si>
    <t xml:space="preserve">%/năm</t>
  </si>
  <si>
    <t xml:space="preserve">WACC tăng theo mức rủi ro của từng kịch bản</t>
  </si>
  <si>
    <t xml:space="preserve">→ Monthly discount rate</t>
  </si>
  <si>
    <t xml:space="preserve">8. Decision Note  /  Ghi chú quyết định</t>
  </si>
  <si>
    <t xml:space="preserve">ViVi dùng hybrid pricing B2B: phí nền tảng 9 triệu VND/showroom/tháng cộng usage bình quân 1,5 triệu, nên ARPU Base là 10,5 triệu. TAM dùng cho bài là 10.000 điểm bán ô tô tại Đông Nam Á; mạng lưới VinFast là nhóm khách hàng đầu tiên. Adoption 0,3%/tháng ở Base tương đương 30 điểm bán mới. Với gross margin 61,9%, LTV/CAC đạt 4,81x và payback 6,9 tháng. Pessimistic hạ adoption còn 0,1%, tăng churn và CAC lên 1,5x Base; 10 tỷ VND tiền mặt giữ runway 14 tháng để nhóm có thời gian cắt scope.</t>
  </si>
  <si>
    <t xml:space="preserve">Tab 2 — UNIT ECONOMICS  /  Kinh tế đơn vị</t>
  </si>
  <si>
    <t xml:space="preserve">Tự động tính từ Tab 1. Kiểm tra: LTV/CAC &gt; 3 (Base) và CAC Payback &lt; 12 tháng.</t>
  </si>
  <si>
    <t xml:space="preserve">Chỉ số</t>
  </si>
  <si>
    <t xml:space="preserve">Benchmark / Note</t>
  </si>
  <si>
    <t xml:space="preserve">Trên mỗi khách hàng / per customer</t>
  </si>
  <si>
    <t xml:space="preserve">ARPU / tháng</t>
  </si>
  <si>
    <t xml:space="preserve">Liên kết từ Tab Assumptions</t>
  </si>
  <si>
    <t xml:space="preserve">COGS / tháng</t>
  </si>
  <si>
    <t xml:space="preserve">→ Gross Profit / tháng</t>
  </si>
  <si>
    <t xml:space="preserve">→ Gross Margin %</t>
  </si>
  <si>
    <t xml:space="preserve">AI product target: 40-60%. SaaS truyền thống: 80%+</t>
  </si>
  <si>
    <t xml:space="preserve">LTV — Customer Lifetime Value</t>
  </si>
  <si>
    <t xml:space="preserve">Số tháng ở lại trung bình</t>
  </si>
  <si>
    <t xml:space="preserve">tháng</t>
  </si>
  <si>
    <t xml:space="preserve">→ LTV = Gross Profit × Số tháng ở lại</t>
  </si>
  <si>
    <t xml:space="preserve">Tổng lợi nhuận gộp một khách mang lại trong vòng đời</t>
  </si>
  <si>
    <t xml:space="preserve">CAC — Customer Acquisition Cost</t>
  </si>
  <si>
    <t xml:space="preserve">CAC — Chi phí thu hút 1 khách</t>
  </si>
  <si>
    <t xml:space="preserve">Key Ratios  /  Tỷ lệ then chốt</t>
  </si>
  <si>
    <t xml:space="preserve">→ LTV / CAC Ratio</t>
  </si>
  <si>
    <t xml:space="preserve">🎯 Target &gt; 3.0x (tiêu chuẩn vàng VC)</t>
  </si>
  <si>
    <t xml:space="preserve">→ CAC Payback Period</t>
  </si>
  <si>
    <t xml:space="preserve">🎯 Target &lt; 12 tháng (early-stage)</t>
  </si>
  <si>
    <t xml:space="preserve">Verdict  /  Kết luận</t>
  </si>
  <si>
    <t xml:space="preserve">Unit Economics Status</t>
  </si>
  <si>
    <t xml:space="preserve">BONUS — Sensitivity Analysis: LTV/CAC theo ARPU và Churn (Base COGS &amp; CAC)</t>
  </si>
  <si>
    <t xml:space="preserve">Mỗi ô là LTV/CAC; dùng COGS Base và CAC Base, chỉ thay ARPU cùng churn.</t>
  </si>
  <si>
    <t xml:space="preserve">ARPU \ Churn</t>
  </si>
  <si>
    <t xml:space="preserve">MODEL CHECKS</t>
  </si>
  <si>
    <t xml:space="preserve">Check</t>
  </si>
  <si>
    <t xml:space="preserve">Actual</t>
  </si>
  <si>
    <t xml:space="preserve">Rule</t>
  </si>
  <si>
    <t xml:space="preserve">Status</t>
  </si>
  <si>
    <t xml:space="preserve">Where to fix</t>
  </si>
  <si>
    <t xml:space="preserve">Note</t>
  </si>
  <si>
    <t xml:space="preserve">Base LTV/CAC</t>
  </si>
  <si>
    <t xml:space="preserve">Assumptions!D7:D22</t>
  </si>
  <si>
    <t xml:space="preserve">&gt; 3.0x</t>
  </si>
  <si>
    <t xml:space="preserve">Base CAC Payback</t>
  </si>
  <si>
    <t xml:space="preserve">&lt; 12 months</t>
  </si>
  <si>
    <t xml:space="preserve">Hidden/API ratio</t>
  </si>
  <si>
    <t xml:space="preserve">Assumptions!D12:D13</t>
  </si>
  <si>
    <t xml:space="preserve">&gt;= 30%</t>
  </si>
  <si>
    <t xml:space="preserve">Pess/Base Churn</t>
  </si>
  <si>
    <t xml:space="preserve">Assumptions!D18:E18</t>
  </si>
  <si>
    <t xml:space="preserve">&gt;= 1.5x</t>
  </si>
  <si>
    <t xml:space="preserve">Pess/Base CAC</t>
  </si>
  <si>
    <t xml:space="preserve">Assumptions!D22:E22</t>
  </si>
  <si>
    <t xml:space="preserve">Adoption in lab range</t>
  </si>
  <si>
    <t xml:space="preserve">Assumptions!C8:E8</t>
  </si>
  <si>
    <t xml:space="preserve">0.1%-0.5% all cases</t>
  </si>
  <si>
    <t xml:space="preserve">TAM in lab range</t>
  </si>
  <si>
    <t xml:space="preserve">Assumptions!C9:E9</t>
  </si>
  <si>
    <t xml:space="preserve">10,000-1,000,000</t>
  </si>
  <si>
    <t xml:space="preserve">Pessimistic runway</t>
  </si>
  <si>
    <t xml:space="preserve">Assumptions!E25:E32</t>
  </si>
  <si>
    <t xml:space="preserve">&gt;= 12 months</t>
  </si>
  <si>
    <t xml:space="preserve">MODEL STATUS</t>
  </si>
  <si>
    <t xml:space="preserve">Tab 3 — P&amp;L &amp; ROI  /  24 tháng</t>
  </si>
  <si>
    <t xml:space="preserve">Chọn scenario:</t>
  </si>
  <si>
    <t xml:space="preserve">Đổi scenario tại đây để toàn bộ P&amp;L tự cập nhật</t>
  </si>
  <si>
    <t xml:space="preserve">Active scenario index:</t>
  </si>
  <si>
    <t xml:space="preserve">Selected scenario inputs ↓</t>
  </si>
  <si>
    <t xml:space="preserve">ARPU / khách / tháng</t>
  </si>
  <si>
    <t xml:space="preserve">Adoption rate</t>
  </si>
  <si>
    <t xml:space="preserve">TAM (số khách tiềm năng)</t>
  </si>
  <si>
    <t xml:space="preserve">Total COGS / khách</t>
  </si>
  <si>
    <t xml:space="preserve">Monthly Churn Rate</t>
  </si>
  <si>
    <t xml:space="preserve">CAC / khách mới</t>
  </si>
  <si>
    <t xml:space="preserve">Fixed Cost / tháng</t>
  </si>
  <si>
    <t xml:space="preserve">Initial Investment</t>
  </si>
  <si>
    <t xml:space="preserve">Initial Cash</t>
  </si>
  <si>
    <t xml:space="preserve">Monthly Discount Rate</t>
  </si>
  <si>
    <t xml:space="preserve">P&amp;L Projection — 24 months  (VND)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</si>
  <si>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</si>
  <si>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</si>
  <si>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</si>
  <si>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</si>
  <si>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</si>
  <si>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</si>
  <si>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</si>
  <si>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</si>
  <si>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</si>
  <si>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</si>
  <si>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</si>
  <si>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</si>
  <si>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</si>
  <si>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</si>
  <si>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</si>
  <si>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</si>
  <si>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</si>
  <si>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</si>
  <si>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</si>
  <si>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</si>
  <si>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</si>
  <si>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</si>
  <si>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</si>
  <si>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</si>
  <si>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</si>
  <si>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TOTAL</t>
  </si>
  <si>
    <t xml:space="preserve">New customers acquired</t>
  </si>
  <si>
    <t xml:space="preserve">Active customers (end of month)</t>
  </si>
  <si>
    <t xml:space="preserve">Revenue</t>
  </si>
  <si>
    <t xml:space="preserve">COGS (variable cost)</t>
  </si>
  <si>
    <t xml:space="preserve">Gross Profit</t>
  </si>
  <si>
    <t xml:space="preserve">Marketing/Acquisition cost</t>
  </si>
  <si>
    <t xml:space="preserve">Fixed cost (salaries + ops)</t>
  </si>
  <si>
    <t xml:space="preserve">Operating Profit (EBITDA)</t>
  </si>
  <si>
    <t xml:space="preserve">Cash Flow (after investment)</t>
  </si>
  <si>
    <t xml:space="preserve">Cash Position (cumulative)</t>
  </si>
  <si>
    <t xml:space="preserve">ROI Metrics  /  Chỉ số đánh giá tổng thể dự án</t>
  </si>
  <si>
    <t xml:space="preserve">NPV (Net Present Value, mil VND)</t>
  </si>
  <si>
    <t xml:space="preserve">IRR (Annual)</t>
  </si>
  <si>
    <t xml:space="preserve">Project Payback (months)</t>
  </si>
  <si>
    <t xml:space="preserve">Runway (months until cash = 0)</t>
  </si>
  <si>
    <t xml:space="preserve">(helper: cumulative cash flow)</t>
  </si>
  <si>
    <t xml:space="preserve">Final Verdict  /  Có nên làm dự án này?</t>
  </si>
  <si>
    <t xml:space="preserve">Project Decision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</si>
</sst>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0.00%;\(0.00%\);\-"/>
    <numFmt numFmtId="167" formatCode="0.0%;\(0.0%\);\-"/>
    <numFmt numFmtId="168" formatCode="0.0&quot; tháng&quot;"/>
    <numFmt numFmtId="169" formatCode="0.00\x"/>
    <numFmt numFmtId="170" formatCode="0.0%"/>
    <numFmt numFmtId="171" formatCode="#,##0"/>
    <numFmt numFmtId="172" formatCode="0.00\x"/>
    <numFmt numFmtId="173" formatCode="0.0"/>
  </numFmts>
  <fonts count="2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0F346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i val="true"/>
      <sz val="9"/>
      <color rgb="FF0F3460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8"/>
      <color rgb="FF94A3B8"/>
      <name val="Arial"/>
      <family val="0"/>
      <charset val="1"/>
    </font>
    <font>
      <b val="true"/>
      <sz val="12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0F3460"/>
        <bgColor rgb="FF1A1A2E"/>
      </patternFill>
    </fill>
    <fill>
      <patternFill patternType="solid">
        <fgColor rgb="FFDCFCE7"/>
        <bgColor rgb="FFF1F5F9"/>
      </patternFill>
    </fill>
    <fill>
      <patternFill patternType="solid">
        <fgColor rgb="FFF1F5F9"/>
        <bgColor rgb="FFFFFFFF"/>
      </patternFill>
    </fill>
    <fill>
      <patternFill patternType="solid">
        <fgColor rgb="FFFEE2E2"/>
        <bgColor rgb="FFFEF3C7"/>
      </patternFill>
    </fill>
    <fill>
      <patternFill patternType="solid">
        <fgColor rgb="FFFFFF00"/>
        <bgColor rgb="FFFFFF00"/>
      </patternFill>
    </fill>
    <fill>
      <patternFill patternType="solid">
        <fgColor rgb="FFFEF3C7"/>
        <bgColor rgb="FFFEE2E2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/>
      <right/>
      <top style="medium">
        <color rgb="FF64748B"/>
      </top>
      <bottom/>
      <diagonal/>
    </border>
    <border diagonalUp="false" diagonalDown="false">
      <left style="thin">
        <color rgb="FFCBD5E1"/>
      </left>
      <right/>
      <top style="thin">
        <color rgb="FFCBD5E1"/>
      </top>
      <bottom/>
      <diagonal/>
    </border>
    <border diagonalUp="false" diagonalDown="false">
      <left/>
      <right/>
      <top/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6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DC2626"/>
        <sz val="10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D97706"/>
        <sz val="10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16A34A"/>
        <sz val="10"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ont>
        <name val="Arial"/>
        <charset val="1"/>
        <family val="0"/>
        <b val="1"/>
        <color rgb="FFDC2626"/>
        <sz val="9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16A34A"/>
        <sz val="11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DC2626"/>
        <sz val="11"/>
      </font>
      <fill>
        <patternFill>
          <bgColor rgb="FFFEE2E2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D9E1E8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64748B"/>
      <rgbColor rgb="FF94A3B8"/>
      <rgbColor rgb="FF0F3460"/>
      <rgbColor rgb="FF16A34A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41"/>
  <sheetViews>
    <sheetView showFormulas="false" showGridLines="true" showRowColHeaders="true" showZeros="true" rightToLeft="false" tabSelected="true" showOutlineSymbols="true" defaultGridColor="true" view="normal" topLeftCell="A1" colorId="64" zoomScale="171" zoomScaleNormal="171" zoomScalePageLayoutView="100" workbookViewId="0">
      <pane xSplit="0" ySplit="5" topLeftCell="A6" activePane="bottomLeft" state="frozen"/>
      <selection pane="topLeft" activeCell="A1" activeCellId="0" sqref="A1"/>
      <selection pane="bottomLeft" activeCell="C28" activeCellId="0" sqref="C28"/>
    </sheetView>
  </sheetViews>
  <sheetFormatPr defaultColWidth="8.6796875" defaultRowHeight="16.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5" min="3" style="0" width="16"/>
    <col collapsed="false" customWidth="true" hidden="false" outlineLevel="0" max="6" min="6" style="0" width="14"/>
    <col collapsed="false" customWidth="true" hidden="false" outlineLevel="0" max="7" min="7" style="0" width="52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  <c r="G3" s="2"/>
    </row>
    <row r="5" customFormat="false" ht="16.5" hidden="false" customHeight="false" outlineLevel="0" collapsed="false">
      <c r="B5" s="3" t="s">
        <v>2</v>
      </c>
      <c r="C5" s="3"/>
      <c r="D5" s="3"/>
      <c r="E5" s="3"/>
      <c r="F5" s="3"/>
    </row>
    <row r="6" customFormat="false" ht="16.5" hidden="false" customHeight="false" outlineLevel="0" collapsed="false">
      <c r="C6" s="4" t="s">
        <v>3</v>
      </c>
      <c r="D6" s="5" t="s">
        <v>4</v>
      </c>
      <c r="E6" s="6" t="s">
        <v>5</v>
      </c>
      <c r="F6" s="7" t="s">
        <v>6</v>
      </c>
      <c r="G6" s="8" t="s">
        <v>7</v>
      </c>
    </row>
    <row r="7" customFormat="false" ht="24.75" hidden="false" customHeight="true" outlineLevel="0" collapsed="false">
      <c r="B7" s="9" t="s">
        <v>8</v>
      </c>
      <c r="C7" s="10" t="n">
        <v>12000000</v>
      </c>
      <c r="D7" s="10" t="n">
        <v>10500000</v>
      </c>
      <c r="E7" s="10" t="n">
        <v>8000000</v>
      </c>
      <c r="F7" s="11" t="s">
        <v>9</v>
      </c>
      <c r="G7" s="12" t="s">
        <v>10</v>
      </c>
    </row>
    <row r="8" customFormat="false" ht="24.75" hidden="false" customHeight="true" outlineLevel="0" collapsed="false">
      <c r="B8" s="9" t="s">
        <v>11</v>
      </c>
      <c r="C8" s="13" t="n">
        <v>0.005</v>
      </c>
      <c r="D8" s="13" t="n">
        <v>0.003</v>
      </c>
      <c r="E8" s="14" t="n">
        <v>0.001</v>
      </c>
      <c r="F8" s="11" t="s">
        <v>12</v>
      </c>
      <c r="G8" s="12" t="s">
        <v>13</v>
      </c>
    </row>
    <row r="9" customFormat="false" ht="24.75" hidden="false" customHeight="true" outlineLevel="0" collapsed="false">
      <c r="B9" s="9" t="s">
        <v>14</v>
      </c>
      <c r="C9" s="10" t="n">
        <v>10000</v>
      </c>
      <c r="D9" s="10" t="n">
        <v>10000</v>
      </c>
      <c r="E9" s="10" t="n">
        <v>10000</v>
      </c>
      <c r="F9" s="11" t="s">
        <v>15</v>
      </c>
      <c r="G9" s="12" t="s">
        <v>16</v>
      </c>
    </row>
    <row r="11" customFormat="false" ht="16.5" hidden="false" customHeight="false" outlineLevel="0" collapsed="false">
      <c r="B11" s="3" t="s">
        <v>17</v>
      </c>
      <c r="C11" s="3"/>
      <c r="D11" s="3"/>
      <c r="E11" s="3"/>
      <c r="F11" s="3"/>
    </row>
    <row r="12" customFormat="false" ht="24.75" hidden="false" customHeight="true" outlineLevel="0" collapsed="false">
      <c r="B12" s="9" t="s">
        <v>18</v>
      </c>
      <c r="C12" s="10" t="n">
        <v>1200000</v>
      </c>
      <c r="D12" s="10" t="n">
        <v>1500000</v>
      </c>
      <c r="E12" s="10" t="n">
        <v>2000000</v>
      </c>
      <c r="F12" s="11" t="s">
        <v>9</v>
      </c>
      <c r="G12" s="12" t="s">
        <v>19</v>
      </c>
    </row>
    <row r="13" customFormat="false" ht="24.75" hidden="false" customHeight="true" outlineLevel="0" collapsed="false">
      <c r="B13" s="9" t="s">
        <v>20</v>
      </c>
      <c r="C13" s="10" t="n">
        <v>1200000</v>
      </c>
      <c r="D13" s="10" t="n">
        <v>1300000</v>
      </c>
      <c r="E13" s="10" t="n">
        <v>1700000</v>
      </c>
      <c r="F13" s="11" t="s">
        <v>9</v>
      </c>
      <c r="G13" s="12" t="s">
        <v>21</v>
      </c>
    </row>
    <row r="14" customFormat="false" ht="24.75" hidden="false" customHeight="true" outlineLevel="0" collapsed="false">
      <c r="B14" s="9" t="s">
        <v>22</v>
      </c>
      <c r="C14" s="10" t="n">
        <v>1100000</v>
      </c>
      <c r="D14" s="10" t="n">
        <v>1200000</v>
      </c>
      <c r="E14" s="10" t="n">
        <v>1300000</v>
      </c>
      <c r="F14" s="11" t="s">
        <v>9</v>
      </c>
      <c r="G14" s="12" t="s">
        <v>23</v>
      </c>
    </row>
    <row r="15" customFormat="false" ht="16.5" hidden="false" customHeight="false" outlineLevel="0" collapsed="false">
      <c r="B15" s="15" t="s">
        <v>24</v>
      </c>
      <c r="C15" s="16" t="n">
        <f aca="false">C12+C13+C14</f>
        <v>3500000</v>
      </c>
      <c r="D15" s="16" t="n">
        <f aca="false">D12+D13+D14</f>
        <v>4000000</v>
      </c>
      <c r="E15" s="16" t="n">
        <f aca="false">E12+E13+E14</f>
        <v>5000000</v>
      </c>
      <c r="F15" s="17"/>
    </row>
    <row r="17" customFormat="false" ht="16.5" hidden="false" customHeight="false" outlineLevel="0" collapsed="false">
      <c r="B17" s="3" t="s">
        <v>25</v>
      </c>
      <c r="C17" s="3"/>
      <c r="D17" s="3"/>
      <c r="E17" s="3"/>
      <c r="F17" s="3"/>
    </row>
    <row r="18" customFormat="false" ht="24.75" hidden="false" customHeight="true" outlineLevel="0" collapsed="false">
      <c r="B18" s="9" t="s">
        <v>26</v>
      </c>
      <c r="C18" s="14" t="n">
        <v>0.02</v>
      </c>
      <c r="D18" s="14" t="n">
        <v>0.03</v>
      </c>
      <c r="E18" s="14" t="n">
        <v>0.045</v>
      </c>
      <c r="F18" s="11" t="s">
        <v>27</v>
      </c>
      <c r="G18" s="12" t="s">
        <v>28</v>
      </c>
    </row>
    <row r="19" customFormat="false" ht="16.5" hidden="false" customHeight="false" outlineLevel="0" collapsed="false">
      <c r="B19" s="18" t="s">
        <v>29</v>
      </c>
      <c r="C19" s="19" t="n">
        <f aca="false">IFERROR(1/C18,0)</f>
        <v>50</v>
      </c>
      <c r="D19" s="19" t="n">
        <f aca="false">IFERROR(1/D18,0)</f>
        <v>33.3333333333333</v>
      </c>
      <c r="E19" s="19" t="n">
        <f aca="false">IFERROR(1/E18,0)</f>
        <v>22.2222222222222</v>
      </c>
      <c r="F19" s="20"/>
    </row>
    <row r="21" customFormat="false" ht="16.5" hidden="false" customHeight="false" outlineLevel="0" collapsed="false">
      <c r="B21" s="3" t="s">
        <v>30</v>
      </c>
      <c r="C21" s="3"/>
      <c r="D21" s="3"/>
      <c r="E21" s="3"/>
      <c r="F21" s="3"/>
    </row>
    <row r="22" customFormat="false" ht="24.75" hidden="false" customHeight="true" outlineLevel="0" collapsed="false">
      <c r="B22" s="9" t="s">
        <v>31</v>
      </c>
      <c r="C22" s="10" t="n">
        <v>40000000</v>
      </c>
      <c r="D22" s="10" t="n">
        <v>45000000</v>
      </c>
      <c r="E22" s="10" t="n">
        <v>67500000</v>
      </c>
      <c r="F22" s="11" t="s">
        <v>9</v>
      </c>
      <c r="G22" s="12" t="s">
        <v>32</v>
      </c>
    </row>
    <row r="24" customFormat="false" ht="16.5" hidden="false" customHeight="false" outlineLevel="0" collapsed="false">
      <c r="B24" s="3" t="s">
        <v>33</v>
      </c>
      <c r="C24" s="3"/>
      <c r="D24" s="3"/>
      <c r="E24" s="3"/>
      <c r="F24" s="3"/>
    </row>
    <row r="25" customFormat="false" ht="34.5" hidden="false" customHeight="true" outlineLevel="0" collapsed="false">
      <c r="B25" s="9" t="s">
        <v>34</v>
      </c>
      <c r="C25" s="10" t="n">
        <v>120000000</v>
      </c>
      <c r="D25" s="10" t="n">
        <v>120000000</v>
      </c>
      <c r="E25" s="10" t="n">
        <v>120000000</v>
      </c>
      <c r="F25" s="11" t="s">
        <v>35</v>
      </c>
      <c r="G25" s="12" t="s">
        <v>36</v>
      </c>
    </row>
    <row r="26" customFormat="false" ht="34.5" hidden="false" customHeight="true" outlineLevel="0" collapsed="false">
      <c r="B26" s="9" t="s">
        <v>37</v>
      </c>
      <c r="C26" s="10" t="n">
        <v>20000000</v>
      </c>
      <c r="D26" s="10" t="n">
        <v>20000000</v>
      </c>
      <c r="E26" s="10" t="n">
        <v>15000000</v>
      </c>
      <c r="F26" s="11" t="s">
        <v>35</v>
      </c>
      <c r="G26" s="21" t="s">
        <v>38</v>
      </c>
    </row>
    <row r="27" customFormat="false" ht="34.5" hidden="false" customHeight="true" outlineLevel="0" collapsed="false">
      <c r="B27" s="9" t="s">
        <v>39</v>
      </c>
      <c r="C27" s="10" t="n">
        <v>10000000</v>
      </c>
      <c r="D27" s="10" t="n">
        <v>10000000</v>
      </c>
      <c r="E27" s="10" t="n">
        <v>5000000</v>
      </c>
      <c r="F27" s="11" t="s">
        <v>35</v>
      </c>
      <c r="G27" s="21" t="s">
        <v>40</v>
      </c>
    </row>
    <row r="28" customFormat="false" ht="16.5" hidden="false" customHeight="false" outlineLevel="0" collapsed="false">
      <c r="B28" s="18" t="s">
        <v>41</v>
      </c>
      <c r="C28" s="22" t="n">
        <f aca="false">SUM(C25:C27)</f>
        <v>150000000</v>
      </c>
      <c r="D28" s="22" t="n">
        <f aca="false">SUM(D25:D27)</f>
        <v>150000000</v>
      </c>
      <c r="E28" s="22" t="n">
        <f aca="false">SUM(E25:E27)</f>
        <v>140000000</v>
      </c>
      <c r="F28" s="20"/>
    </row>
    <row r="30" customFormat="false" ht="16.5" hidden="false" customHeight="false" outlineLevel="0" collapsed="false">
      <c r="B30" s="3" t="s">
        <v>42</v>
      </c>
      <c r="C30" s="3"/>
      <c r="D30" s="3"/>
      <c r="E30" s="3"/>
      <c r="F30" s="3"/>
    </row>
    <row r="31" customFormat="false" ht="24.75" hidden="false" customHeight="true" outlineLevel="0" collapsed="false">
      <c r="B31" s="9" t="s">
        <v>43</v>
      </c>
      <c r="C31" s="10" t="n">
        <v>700000000</v>
      </c>
      <c r="D31" s="10" t="n">
        <v>600000000</v>
      </c>
      <c r="E31" s="10" t="n">
        <v>800000000</v>
      </c>
      <c r="F31" s="11" t="s">
        <v>9</v>
      </c>
      <c r="G31" s="12" t="s">
        <v>44</v>
      </c>
    </row>
    <row r="32" customFormat="false" ht="24.75" hidden="false" customHeight="true" outlineLevel="0" collapsed="false">
      <c r="B32" s="9" t="s">
        <v>45</v>
      </c>
      <c r="C32" s="10" t="n">
        <v>10000000000</v>
      </c>
      <c r="D32" s="10" t="n">
        <v>10000000000</v>
      </c>
      <c r="E32" s="10" t="n">
        <v>10000000000</v>
      </c>
      <c r="F32" s="11" t="s">
        <v>9</v>
      </c>
      <c r="G32" s="12" t="s">
        <v>46</v>
      </c>
    </row>
    <row r="34" customFormat="false" ht="16.5" hidden="false" customHeight="false" outlineLevel="0" collapsed="false">
      <c r="B34" s="3" t="s">
        <v>47</v>
      </c>
      <c r="C34" s="3"/>
      <c r="D34" s="3"/>
      <c r="E34" s="3"/>
      <c r="F34" s="3"/>
    </row>
    <row r="35" customFormat="false" ht="24.75" hidden="false" customHeight="true" outlineLevel="0" collapsed="false">
      <c r="B35" s="9" t="s">
        <v>48</v>
      </c>
      <c r="C35" s="14" t="n">
        <v>0.18</v>
      </c>
      <c r="D35" s="14" t="n">
        <v>0.22</v>
      </c>
      <c r="E35" s="14" t="n">
        <v>0.25</v>
      </c>
      <c r="F35" s="11" t="s">
        <v>49</v>
      </c>
      <c r="G35" s="12" t="s">
        <v>50</v>
      </c>
    </row>
    <row r="36" customFormat="false" ht="16.5" hidden="false" customHeight="false" outlineLevel="0" collapsed="false">
      <c r="B36" s="18" t="s">
        <v>51</v>
      </c>
      <c r="C36" s="23" t="n">
        <f aca="false">(1+C35)^(1/12)-1</f>
        <v>0.0138884303484099</v>
      </c>
      <c r="D36" s="23" t="n">
        <f aca="false">(1+D35)^(1/12)-1</f>
        <v>0.0167089638731281</v>
      </c>
      <c r="E36" s="23" t="n">
        <f aca="false">(1+E35)^(1/12)-1</f>
        <v>0.0187692651215061</v>
      </c>
      <c r="F36" s="20"/>
    </row>
    <row r="38" customFormat="false" ht="16.5" hidden="false" customHeight="false" outlineLevel="0" collapsed="false">
      <c r="B38" s="3" t="s">
        <v>52</v>
      </c>
      <c r="C38" s="3"/>
      <c r="D38" s="3"/>
      <c r="E38" s="3"/>
      <c r="F38" s="3"/>
    </row>
    <row r="39" customFormat="false" ht="27.75" hidden="false" customHeight="true" outlineLevel="0" collapsed="false">
      <c r="B39" s="24" t="s">
        <v>53</v>
      </c>
      <c r="C39" s="24"/>
      <c r="D39" s="24"/>
      <c r="E39" s="24"/>
      <c r="F39" s="24"/>
    </row>
    <row r="40" customFormat="false" ht="27.75" hidden="false" customHeight="true" outlineLevel="0" collapsed="false">
      <c r="B40" s="24"/>
      <c r="C40" s="24"/>
      <c r="D40" s="24"/>
      <c r="E40" s="24"/>
      <c r="F40" s="24"/>
    </row>
    <row r="41" customFormat="false" ht="27.75" hidden="false" customHeight="true" outlineLevel="0" collapsed="false">
      <c r="B41" s="24"/>
      <c r="C41" s="24"/>
      <c r="D41" s="24"/>
      <c r="E41" s="24"/>
      <c r="F41" s="24"/>
    </row>
  </sheetData>
  <mergeCells count="11">
    <mergeCell ref="B2:F2"/>
    <mergeCell ref="B3:G3"/>
    <mergeCell ref="B5:F5"/>
    <mergeCell ref="B11:F11"/>
    <mergeCell ref="B17:F17"/>
    <mergeCell ref="B21:F21"/>
    <mergeCell ref="B24:F24"/>
    <mergeCell ref="B30:F30"/>
    <mergeCell ref="B34:F34"/>
    <mergeCell ref="B38:F38"/>
    <mergeCell ref="B39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48"/>
  <sheetViews>
    <sheetView showFormulas="false" showGridLines="true" showRowColHeaders="true" showZeros="true" rightToLeft="false" tabSelected="false" showOutlineSymbols="true" defaultGridColor="true" view="normal" topLeftCell="A1" colorId="64" zoomScale="147" zoomScaleNormal="147" zoomScalePageLayoutView="100" workbookViewId="0">
      <pane xSplit="0" ySplit="5" topLeftCell="A6" activePane="bottomLeft" state="frozen"/>
      <selection pane="topLeft" activeCell="A1" activeCellId="0" sqref="A1"/>
      <selection pane="bottomLeft" activeCell="E21" activeCellId="0" sqref="E21"/>
    </sheetView>
  </sheetViews>
  <sheetFormatPr defaultColWidth="8.6796875" defaultRowHeight="16.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5" min="3" style="0" width="16"/>
    <col collapsed="false" customWidth="true" hidden="false" outlineLevel="0" max="6" min="6" style="0" width="24"/>
    <col collapsed="false" customWidth="true" hidden="false" outlineLevel="0" max="7" min="7" style="0" width="50"/>
  </cols>
  <sheetData>
    <row r="2" customFormat="false" ht="30" hidden="false" customHeight="true" outlineLevel="0" collapsed="false">
      <c r="B2" s="1" t="s">
        <v>54</v>
      </c>
      <c r="C2" s="1"/>
      <c r="D2" s="1"/>
      <c r="E2" s="1"/>
      <c r="F2" s="1"/>
    </row>
    <row r="3" customFormat="false" ht="19.5" hidden="false" customHeight="true" outlineLevel="0" collapsed="false">
      <c r="B3" s="2" t="s">
        <v>55</v>
      </c>
      <c r="C3" s="2"/>
      <c r="D3" s="2"/>
      <c r="E3" s="2"/>
      <c r="F3" s="2"/>
      <c r="G3" s="2"/>
    </row>
    <row r="5" customFormat="false" ht="16.5" hidden="false" customHeight="false" outlineLevel="0" collapsed="false">
      <c r="B5" s="8" t="s">
        <v>56</v>
      </c>
      <c r="C5" s="4" t="s">
        <v>3</v>
      </c>
      <c r="D5" s="5" t="s">
        <v>4</v>
      </c>
      <c r="E5" s="6" t="s">
        <v>5</v>
      </c>
      <c r="F5" s="7" t="s">
        <v>6</v>
      </c>
      <c r="G5" s="8" t="s">
        <v>57</v>
      </c>
    </row>
    <row r="7" customFormat="false" ht="16.5" hidden="false" customHeight="false" outlineLevel="0" collapsed="false">
      <c r="B7" s="3" t="s">
        <v>58</v>
      </c>
      <c r="C7" s="3"/>
      <c r="D7" s="3"/>
      <c r="E7" s="3"/>
      <c r="F7" s="3"/>
    </row>
    <row r="8" customFormat="false" ht="16.5" hidden="false" customHeight="false" outlineLevel="0" collapsed="false">
      <c r="B8" s="9" t="s">
        <v>59</v>
      </c>
      <c r="C8" s="25" t="n">
        <f aca="false">'1. Assumptions'!C7</f>
        <v>12000000</v>
      </c>
      <c r="D8" s="25" t="n">
        <f aca="false">'1. Assumptions'!D7</f>
        <v>10500000</v>
      </c>
      <c r="E8" s="25" t="n">
        <f aca="false">'1. Assumptions'!E7</f>
        <v>8000000</v>
      </c>
      <c r="F8" s="11" t="s">
        <v>9</v>
      </c>
      <c r="G8" s="26" t="s">
        <v>60</v>
      </c>
    </row>
    <row r="9" customFormat="false" ht="16.5" hidden="false" customHeight="false" outlineLevel="0" collapsed="false">
      <c r="B9" s="9" t="s">
        <v>61</v>
      </c>
      <c r="C9" s="25" t="n">
        <f aca="false">'1. Assumptions'!C15</f>
        <v>3500000</v>
      </c>
      <c r="D9" s="25" t="n">
        <f aca="false">'1. Assumptions'!D15</f>
        <v>4000000</v>
      </c>
      <c r="E9" s="25" t="n">
        <f aca="false">'1. Assumptions'!E15</f>
        <v>5000000</v>
      </c>
      <c r="F9" s="11" t="s">
        <v>9</v>
      </c>
    </row>
    <row r="10" customFormat="false" ht="16.5" hidden="false" customHeight="false" outlineLevel="0" collapsed="false">
      <c r="B10" s="18" t="s">
        <v>62</v>
      </c>
      <c r="C10" s="22" t="n">
        <f aca="false">C8-C9</f>
        <v>8500000</v>
      </c>
      <c r="D10" s="22" t="n">
        <f aca="false">D8-D9</f>
        <v>6500000</v>
      </c>
      <c r="E10" s="22" t="n">
        <f aca="false">E8-E9</f>
        <v>3000000</v>
      </c>
      <c r="F10" s="20"/>
    </row>
    <row r="11" customFormat="false" ht="16.5" hidden="false" customHeight="false" outlineLevel="0" collapsed="false">
      <c r="B11" s="18" t="s">
        <v>63</v>
      </c>
      <c r="C11" s="23" t="n">
        <f aca="false">IFERROR(C10/C8,0)</f>
        <v>0.708333333333333</v>
      </c>
      <c r="D11" s="23" t="n">
        <f aca="false">IFERROR(D10/D8,0)</f>
        <v>0.619047619047619</v>
      </c>
      <c r="E11" s="23" t="n">
        <f aca="false">IFERROR(E10/E8,0)</f>
        <v>0.375</v>
      </c>
      <c r="F11" s="20"/>
      <c r="G11" s="26" t="s">
        <v>64</v>
      </c>
    </row>
    <row r="13" customFormat="false" ht="16.5" hidden="false" customHeight="false" outlineLevel="0" collapsed="false">
      <c r="B13" s="3" t="s">
        <v>65</v>
      </c>
      <c r="C13" s="3"/>
      <c r="D13" s="3"/>
      <c r="E13" s="3"/>
      <c r="F13" s="3"/>
    </row>
    <row r="14" customFormat="false" ht="16.5" hidden="false" customHeight="false" outlineLevel="0" collapsed="false">
      <c r="B14" s="9" t="s">
        <v>66</v>
      </c>
      <c r="C14" s="27" t="n">
        <f aca="false">'1. Assumptions'!C19</f>
        <v>50</v>
      </c>
      <c r="D14" s="27" t="n">
        <f aca="false">'1. Assumptions'!D19</f>
        <v>33.3333333333333</v>
      </c>
      <c r="E14" s="27" t="n">
        <f aca="false">'1. Assumptions'!E19</f>
        <v>22.2222222222222</v>
      </c>
      <c r="F14" s="11" t="s">
        <v>67</v>
      </c>
    </row>
    <row r="15" customFormat="false" ht="16.5" hidden="false" customHeight="false" outlineLevel="0" collapsed="false">
      <c r="B15" s="18" t="s">
        <v>68</v>
      </c>
      <c r="C15" s="22" t="n">
        <f aca="false">C10*C14</f>
        <v>425000000</v>
      </c>
      <c r="D15" s="22" t="n">
        <f aca="false">D10*D14</f>
        <v>216666666.666667</v>
      </c>
      <c r="E15" s="22" t="n">
        <f aca="false">E10*E14</f>
        <v>66666666.6666667</v>
      </c>
      <c r="F15" s="20"/>
      <c r="G15" s="26" t="s">
        <v>69</v>
      </c>
    </row>
    <row r="17" customFormat="false" ht="16.5" hidden="false" customHeight="false" outlineLevel="0" collapsed="false">
      <c r="B17" s="3" t="s">
        <v>70</v>
      </c>
      <c r="C17" s="3"/>
      <c r="D17" s="3"/>
      <c r="E17" s="3"/>
      <c r="F17" s="3"/>
    </row>
    <row r="18" customFormat="false" ht="16.5" hidden="false" customHeight="false" outlineLevel="0" collapsed="false">
      <c r="B18" s="9" t="s">
        <v>71</v>
      </c>
      <c r="C18" s="25" t="n">
        <f aca="false">'1. Assumptions'!C22</f>
        <v>40000000</v>
      </c>
      <c r="D18" s="25" t="n">
        <f aca="false">'1. Assumptions'!D22</f>
        <v>45000000</v>
      </c>
      <c r="E18" s="25" t="n">
        <f aca="false">'1. Assumptions'!E22</f>
        <v>67500000</v>
      </c>
      <c r="F18" s="11" t="s">
        <v>9</v>
      </c>
    </row>
    <row r="20" customFormat="false" ht="16.5" hidden="false" customHeight="false" outlineLevel="0" collapsed="false">
      <c r="B20" s="3" t="s">
        <v>72</v>
      </c>
      <c r="C20" s="3"/>
      <c r="D20" s="3"/>
      <c r="E20" s="3"/>
      <c r="F20" s="3"/>
    </row>
    <row r="21" customFormat="false" ht="16.5" hidden="false" customHeight="false" outlineLevel="0" collapsed="false">
      <c r="B21" s="18" t="s">
        <v>73</v>
      </c>
      <c r="C21" s="28" t="n">
        <f aca="false">IFERROR(C15/C18,0)</f>
        <v>10.625</v>
      </c>
      <c r="D21" s="28" t="n">
        <f aca="false">IFERROR(D15/D18,0)</f>
        <v>4.81481481481482</v>
      </c>
      <c r="E21" s="28" t="n">
        <f aca="false">IFERROR(E15/E18,0)</f>
        <v>0.987654320987654</v>
      </c>
      <c r="F21" s="20"/>
      <c r="G21" s="26" t="s">
        <v>74</v>
      </c>
    </row>
    <row r="22" customFormat="false" ht="16.5" hidden="false" customHeight="false" outlineLevel="0" collapsed="false">
      <c r="B22" s="18" t="s">
        <v>75</v>
      </c>
      <c r="C22" s="19" t="n">
        <f aca="false">IFERROR(C18/C10,0)</f>
        <v>4.70588235294118</v>
      </c>
      <c r="D22" s="19" t="n">
        <f aca="false">IFERROR(D18/D10,0)</f>
        <v>6.92307692307692</v>
      </c>
      <c r="E22" s="19" t="n">
        <f aca="false">IFERROR(E18/E10,0)</f>
        <v>22.5</v>
      </c>
      <c r="F22" s="20"/>
      <c r="G22" s="26" t="s">
        <v>76</v>
      </c>
    </row>
    <row r="24" customFormat="false" ht="16.5" hidden="false" customHeight="false" outlineLevel="0" collapsed="false">
      <c r="B24" s="3" t="s">
        <v>77</v>
      </c>
      <c r="C24" s="3"/>
      <c r="D24" s="3"/>
      <c r="E24" s="3"/>
      <c r="F24" s="3"/>
    </row>
    <row r="25" customFormat="false" ht="16.5" hidden="false" customHeight="false" outlineLevel="0" collapsed="false">
      <c r="B25" s="8" t="s">
        <v>78</v>
      </c>
      <c r="C25" s="29" t="str">
        <f aca="false">IF(AND(C21&gt;=3,C22&lt;=12),"✓ HEALTHY",IF(OR(C21&lt;1,C22&gt;18),"✗ UNHEALTHY","⚠ WATCH"))</f>
        <v>✓ HEALTHY</v>
      </c>
      <c r="D25" s="29" t="str">
        <f aca="false">IF(AND(D21&gt;=3,D22&lt;=12),"✓ HEALTHY",IF(OR(D21&lt;1,D22&gt;18),"✗ UNHEALTHY","⚠ WATCH"))</f>
        <v>✓ HEALTHY</v>
      </c>
      <c r="E25" s="29" t="str">
        <f aca="false">IF(AND(E21&gt;=3,E22&lt;=12),"✓ HEALTHY",IF(OR(E21&lt;1,E22&gt;18),"✗ UNHEALTHY","⚠ WATCH"))</f>
        <v>✗ UNHEALTHY</v>
      </c>
    </row>
    <row r="28" customFormat="false" ht="22.5" hidden="false" customHeight="true" outlineLevel="0" collapsed="false">
      <c r="B28" s="30" t="s">
        <v>79</v>
      </c>
      <c r="C28" s="30"/>
      <c r="D28" s="30"/>
      <c r="E28" s="30"/>
      <c r="F28" s="30"/>
      <c r="G28" s="30"/>
    </row>
    <row r="29" customFormat="false" ht="16.5" hidden="false" customHeight="false" outlineLevel="0" collapsed="false">
      <c r="B29" s="31" t="s">
        <v>80</v>
      </c>
      <c r="C29" s="31"/>
      <c r="D29" s="31"/>
      <c r="E29" s="31"/>
      <c r="F29" s="31"/>
      <c r="G29" s="31"/>
    </row>
    <row r="30" customFormat="false" ht="16.5" hidden="false" customHeight="false" outlineLevel="0" collapsed="false">
      <c r="B30" s="32" t="s">
        <v>81</v>
      </c>
      <c r="C30" s="33" t="n">
        <v>0.02</v>
      </c>
      <c r="D30" s="33" t="n">
        <v>0.025</v>
      </c>
      <c r="E30" s="33" t="n">
        <v>0.03</v>
      </c>
      <c r="F30" s="33" t="n">
        <v>0.04</v>
      </c>
      <c r="G30" s="33" t="n">
        <v>0.05</v>
      </c>
    </row>
    <row r="31" customFormat="false" ht="16.5" hidden="false" customHeight="false" outlineLevel="0" collapsed="false">
      <c r="B31" s="34" t="n">
        <v>8500000</v>
      </c>
      <c r="C31" s="35" t="n">
        <f aca="false">(($B31-'1. Assumptions'!$D$15)/C30)/'1. Assumptions'!$D$22</f>
        <v>5</v>
      </c>
      <c r="D31" s="35" t="n">
        <f aca="false">(($B31-'1. Assumptions'!$D$15)/D30)/'1. Assumptions'!$D$22</f>
        <v>4</v>
      </c>
      <c r="E31" s="35" t="n">
        <f aca="false">(($B31-'1. Assumptions'!$D$15)/E30)/'1. Assumptions'!$D$22</f>
        <v>3.33333333333333</v>
      </c>
      <c r="F31" s="35" t="n">
        <f aca="false">(($B31-'1. Assumptions'!$D$15)/F30)/'1. Assumptions'!$D$22</f>
        <v>2.5</v>
      </c>
      <c r="G31" s="35" t="n">
        <f aca="false">(($B31-'1. Assumptions'!$D$15)/G30)/'1. Assumptions'!$D$22</f>
        <v>2</v>
      </c>
    </row>
    <row r="32" customFormat="false" ht="16.5" hidden="false" customHeight="false" outlineLevel="0" collapsed="false">
      <c r="B32" s="34" t="n">
        <v>9500000</v>
      </c>
      <c r="C32" s="35" t="n">
        <f aca="false">(($B32-'1. Assumptions'!$D$15)/C30)/'1. Assumptions'!$D$22</f>
        <v>6.11111111111111</v>
      </c>
      <c r="D32" s="35" t="n">
        <f aca="false">(($B32-'1. Assumptions'!$D$15)/D30)/'1. Assumptions'!$D$22</f>
        <v>4.88888888888889</v>
      </c>
      <c r="E32" s="35" t="n">
        <f aca="false">(($B32-'1. Assumptions'!$D$15)/E30)/'1. Assumptions'!$D$22</f>
        <v>4.07407407407407</v>
      </c>
      <c r="F32" s="35" t="n">
        <f aca="false">(($B32-'1. Assumptions'!$D$15)/F30)/'1. Assumptions'!$D$22</f>
        <v>3.05555555555556</v>
      </c>
      <c r="G32" s="35" t="n">
        <f aca="false">(($B32-'1. Assumptions'!$D$15)/G30)/'1. Assumptions'!$D$22</f>
        <v>2.44444444444444</v>
      </c>
    </row>
    <row r="33" customFormat="false" ht="16.5" hidden="false" customHeight="false" outlineLevel="0" collapsed="false">
      <c r="B33" s="34" t="n">
        <v>10500000</v>
      </c>
      <c r="C33" s="35" t="n">
        <f aca="false">(($B33-'1. Assumptions'!$D$15)/C30)/'1. Assumptions'!$D$22</f>
        <v>7.22222222222222</v>
      </c>
      <c r="D33" s="35" t="n">
        <f aca="false">(($B33-'1. Assumptions'!$D$15)/D30)/'1. Assumptions'!$D$22</f>
        <v>5.77777777777778</v>
      </c>
      <c r="E33" s="35" t="n">
        <f aca="false">(($B33-'1. Assumptions'!$D$15)/E30)/'1. Assumptions'!$D$22</f>
        <v>4.81481481481482</v>
      </c>
      <c r="F33" s="35" t="n">
        <f aca="false">(($B33-'1. Assumptions'!$D$15)/F30)/'1. Assumptions'!$D$22</f>
        <v>3.61111111111111</v>
      </c>
      <c r="G33" s="35" t="n">
        <f aca="false">(($B33-'1. Assumptions'!$D$15)/G30)/'1. Assumptions'!$D$22</f>
        <v>2.88888888888889</v>
      </c>
    </row>
    <row r="34" customFormat="false" ht="16.5" hidden="false" customHeight="false" outlineLevel="0" collapsed="false">
      <c r="B34" s="34" t="n">
        <v>11500000</v>
      </c>
      <c r="C34" s="35" t="n">
        <f aca="false">(($B34-'1. Assumptions'!$D$15)/C30)/'1. Assumptions'!$D$22</f>
        <v>8.33333333333333</v>
      </c>
      <c r="D34" s="35" t="n">
        <f aca="false">(($B34-'1. Assumptions'!$D$15)/D30)/'1. Assumptions'!$D$22</f>
        <v>6.66666666666667</v>
      </c>
      <c r="E34" s="35" t="n">
        <f aca="false">(($B34-'1. Assumptions'!$D$15)/E30)/'1. Assumptions'!$D$22</f>
        <v>5.55555555555556</v>
      </c>
      <c r="F34" s="35" t="n">
        <f aca="false">(($B34-'1. Assumptions'!$D$15)/F30)/'1. Assumptions'!$D$22</f>
        <v>4.16666666666667</v>
      </c>
      <c r="G34" s="35" t="n">
        <f aca="false">(($B34-'1. Assumptions'!$D$15)/G30)/'1. Assumptions'!$D$22</f>
        <v>3.33333333333333</v>
      </c>
    </row>
    <row r="35" customFormat="false" ht="16.5" hidden="false" customHeight="false" outlineLevel="0" collapsed="false">
      <c r="B35" s="34" t="n">
        <v>12500000</v>
      </c>
      <c r="C35" s="35" t="n">
        <f aca="false">(($B35-'1. Assumptions'!$D$15)/C30)/'1. Assumptions'!$D$22</f>
        <v>9.44444444444445</v>
      </c>
      <c r="D35" s="35" t="n">
        <f aca="false">(($B35-'1. Assumptions'!$D$15)/D30)/'1. Assumptions'!$D$22</f>
        <v>7.55555555555556</v>
      </c>
      <c r="E35" s="35" t="n">
        <f aca="false">(($B35-'1. Assumptions'!$D$15)/E30)/'1. Assumptions'!$D$22</f>
        <v>6.2962962962963</v>
      </c>
      <c r="F35" s="35" t="n">
        <f aca="false">(($B35-'1. Assumptions'!$D$15)/F30)/'1. Assumptions'!$D$22</f>
        <v>4.72222222222222</v>
      </c>
      <c r="G35" s="35" t="n">
        <f aca="false">(($B35-'1. Assumptions'!$D$15)/G30)/'1. Assumptions'!$D$22</f>
        <v>3.77777777777778</v>
      </c>
    </row>
    <row r="37" customFormat="false" ht="16.5" hidden="false" customHeight="false" outlineLevel="0" collapsed="false">
      <c r="B37" s="36" t="s">
        <v>82</v>
      </c>
      <c r="C37" s="36"/>
      <c r="D37" s="36"/>
      <c r="E37" s="36"/>
      <c r="F37" s="36"/>
      <c r="G37" s="36"/>
    </row>
    <row r="38" customFormat="false" ht="21.75" hidden="false" customHeight="true" outlineLevel="0" collapsed="false">
      <c r="B38" s="37" t="s">
        <v>83</v>
      </c>
      <c r="C38" s="37" t="s">
        <v>84</v>
      </c>
      <c r="D38" s="37" t="s">
        <v>85</v>
      </c>
      <c r="E38" s="37" t="s">
        <v>86</v>
      </c>
      <c r="F38" s="37" t="s">
        <v>87</v>
      </c>
      <c r="G38" s="37" t="s">
        <v>88</v>
      </c>
    </row>
    <row r="39" customFormat="false" ht="21.75" hidden="false" customHeight="true" outlineLevel="0" collapsed="false">
      <c r="B39" s="38" t="s">
        <v>89</v>
      </c>
      <c r="C39" s="39" t="n">
        <f aca="false">D21</f>
        <v>4.81481481481482</v>
      </c>
      <c r="D39" s="39" t="n">
        <v>3</v>
      </c>
      <c r="E39" s="40" t="str">
        <f aca="false">IF(C39&gt;D39,"OK","FAIL")</f>
        <v>OK</v>
      </c>
      <c r="F39" s="38" t="s">
        <v>90</v>
      </c>
      <c r="G39" s="38" t="s">
        <v>91</v>
      </c>
    </row>
    <row r="40" customFormat="false" ht="21.75" hidden="false" customHeight="true" outlineLevel="0" collapsed="false">
      <c r="B40" s="38" t="s">
        <v>92</v>
      </c>
      <c r="C40" s="41" t="n">
        <f aca="false">D22</f>
        <v>6.92307692307692</v>
      </c>
      <c r="D40" s="41" t="n">
        <v>12</v>
      </c>
      <c r="E40" s="40" t="str">
        <f aca="false">IF(C40&lt;D40,"OK","FAIL")</f>
        <v>OK</v>
      </c>
      <c r="F40" s="38" t="s">
        <v>90</v>
      </c>
      <c r="G40" s="38" t="s">
        <v>93</v>
      </c>
    </row>
    <row r="41" customFormat="false" ht="21.75" hidden="false" customHeight="true" outlineLevel="0" collapsed="false">
      <c r="B41" s="38" t="s">
        <v>94</v>
      </c>
      <c r="C41" s="42" t="n">
        <f aca="false">'1. Assumptions'!D13/'1. Assumptions'!D12</f>
        <v>0.866666666666667</v>
      </c>
      <c r="D41" s="42" t="n">
        <v>0.3</v>
      </c>
      <c r="E41" s="40" t="str">
        <f aca="false">IF(C41&gt;=D41,"OK","FAIL")</f>
        <v>OK</v>
      </c>
      <c r="F41" s="38" t="s">
        <v>95</v>
      </c>
      <c r="G41" s="38" t="s">
        <v>96</v>
      </c>
    </row>
    <row r="42" customFormat="false" ht="21.75" hidden="false" customHeight="true" outlineLevel="0" collapsed="false">
      <c r="B42" s="38" t="s">
        <v>97</v>
      </c>
      <c r="C42" s="39" t="n">
        <f aca="false">'1. Assumptions'!E18/'1. Assumptions'!D18</f>
        <v>1.5</v>
      </c>
      <c r="D42" s="39" t="n">
        <v>1.5</v>
      </c>
      <c r="E42" s="40" t="str">
        <f aca="false">IF(C42&gt;=D42,"OK","FAIL")</f>
        <v>OK</v>
      </c>
      <c r="F42" s="38" t="s">
        <v>98</v>
      </c>
      <c r="G42" s="38" t="s">
        <v>99</v>
      </c>
    </row>
    <row r="43" customFormat="false" ht="21.75" hidden="false" customHeight="true" outlineLevel="0" collapsed="false">
      <c r="B43" s="38" t="s">
        <v>100</v>
      </c>
      <c r="C43" s="39" t="n">
        <f aca="false">'1. Assumptions'!E22/'1. Assumptions'!D22</f>
        <v>1.5</v>
      </c>
      <c r="D43" s="39" t="n">
        <v>1.5</v>
      </c>
      <c r="E43" s="40" t="str">
        <f aca="false">IF(C43&gt;=D43,"OK","FAIL")</f>
        <v>OK</v>
      </c>
      <c r="F43" s="38" t="s">
        <v>101</v>
      </c>
      <c r="G43" s="38" t="s">
        <v>99</v>
      </c>
    </row>
    <row r="44" customFormat="false" ht="21.75" hidden="false" customHeight="true" outlineLevel="0" collapsed="false">
      <c r="B44" s="38" t="s">
        <v>102</v>
      </c>
      <c r="C44" s="38" t="n">
        <f aca="false">IF(AND(MIN('1. Assumptions'!C8:E8)&gt;=0.001,MAX('1. Assumptions'!C8:E8)&lt;=0.005),1,0)</f>
        <v>1</v>
      </c>
      <c r="D44" s="38" t="n">
        <v>1</v>
      </c>
      <c r="E44" s="40" t="str">
        <f aca="false">IF(C44=D44,"OK","FAIL")</f>
        <v>OK</v>
      </c>
      <c r="F44" s="38" t="s">
        <v>103</v>
      </c>
      <c r="G44" s="38" t="s">
        <v>104</v>
      </c>
    </row>
    <row r="45" customFormat="false" ht="21.75" hidden="false" customHeight="true" outlineLevel="0" collapsed="false">
      <c r="B45" s="38" t="s">
        <v>105</v>
      </c>
      <c r="C45" s="38" t="n">
        <f aca="false">IF(AND(MIN('1. Assumptions'!C9:E9)&gt;=10000,MAX('1. Assumptions'!C9:E9)&lt;=1000000),1,0)</f>
        <v>1</v>
      </c>
      <c r="D45" s="38" t="n">
        <v>1</v>
      </c>
      <c r="E45" s="40" t="str">
        <f aca="false">IF(C45=D45,"OK","FAIL")</f>
        <v>OK</v>
      </c>
      <c r="F45" s="38" t="s">
        <v>106</v>
      </c>
      <c r="G45" s="38" t="s">
        <v>107</v>
      </c>
    </row>
    <row r="46" customFormat="false" ht="21.75" hidden="false" customHeight="true" outlineLevel="0" collapsed="false">
      <c r="B46" s="38" t="s">
        <v>108</v>
      </c>
      <c r="C46" s="41" t="n">
        <f aca="false">'3. P&amp;L &amp; ROI'!C40</f>
        <v>14</v>
      </c>
      <c r="D46" s="41" t="n">
        <v>12</v>
      </c>
      <c r="E46" s="40" t="str">
        <f aca="false">IF(OR(C46="&gt;= 24",IFERROR(C46&gt;=D46,FALSE())),"OK","FAIL")</f>
        <v>OK</v>
      </c>
      <c r="F46" s="38" t="s">
        <v>109</v>
      </c>
      <c r="G46" s="38" t="s">
        <v>110</v>
      </c>
    </row>
    <row r="48" customFormat="false" ht="16.5" hidden="false" customHeight="false" outlineLevel="0" collapsed="false">
      <c r="B48" s="43" t="s">
        <v>111</v>
      </c>
      <c r="C48" s="43"/>
      <c r="D48" s="43"/>
      <c r="E48" s="43" t="str">
        <f aca="false">IF(COUNTIF(E39:E46,"FAIL")=0,"PASS","FAIL")</f>
        <v>PASS</v>
      </c>
      <c r="F48" s="43"/>
      <c r="G48" s="43"/>
    </row>
  </sheetData>
  <mergeCells count="12">
    <mergeCell ref="B2:F2"/>
    <mergeCell ref="B3:G3"/>
    <mergeCell ref="B7:F7"/>
    <mergeCell ref="B13:F13"/>
    <mergeCell ref="B17:F17"/>
    <mergeCell ref="B20:F20"/>
    <mergeCell ref="B24:F24"/>
    <mergeCell ref="B28:G28"/>
    <mergeCell ref="B29:G29"/>
    <mergeCell ref="B37:G37"/>
    <mergeCell ref="B48:D48"/>
    <mergeCell ref="E48:G48"/>
  </mergeCells>
  <conditionalFormatting sqref="C21">
    <cfRule type="cellIs" priority="2" operator="lessThan" aboveAverage="0" equalAverage="0" bottom="0" percent="0" rank="0" text="" dxfId="0">
      <formula>1</formula>
    </cfRule>
    <cfRule type="cellIs" priority="3" operator="between" aboveAverage="0" equalAverage="0" bottom="0" percent="0" rank="0" text="" dxfId="1">
      <formula>1</formula>
      <formula>3</formula>
    </cfRule>
    <cfRule type="cellIs" priority="4" operator="greaterThanOrEqual" aboveAverage="0" equalAverage="0" bottom="0" percent="0" rank="0" text="" dxfId="2">
      <formula>3</formula>
    </cfRule>
  </conditionalFormatting>
  <conditionalFormatting sqref="D21">
    <cfRule type="cellIs" priority="5" operator="lessThan" aboveAverage="0" equalAverage="0" bottom="0" percent="0" rank="0" text="" dxfId="0">
      <formula>1</formula>
    </cfRule>
    <cfRule type="cellIs" priority="6" operator="between" aboveAverage="0" equalAverage="0" bottom="0" percent="0" rank="0" text="" dxfId="1">
      <formula>1</formula>
      <formula>3</formula>
    </cfRule>
    <cfRule type="cellIs" priority="7" operator="greaterThanOrEqual" aboveAverage="0" equalAverage="0" bottom="0" percent="0" rank="0" text="" dxfId="2">
      <formula>3</formula>
    </cfRule>
  </conditionalFormatting>
  <conditionalFormatting sqref="E21">
    <cfRule type="cellIs" priority="8" operator="lessThan" aboveAverage="0" equalAverage="0" bottom="0" percent="0" rank="0" text="" dxfId="0">
      <formula>1</formula>
    </cfRule>
    <cfRule type="cellIs" priority="9" operator="between" aboveAverage="0" equalAverage="0" bottom="0" percent="0" rank="0" text="" dxfId="1">
      <formula>1</formula>
      <formula>3</formula>
    </cfRule>
    <cfRule type="cellIs" priority="10" operator="greaterThanOrEqual" aboveAverage="0" equalAverage="0" bottom="0" percent="0" rank="0" text="" dxfId="2">
      <formula>3</formula>
    </cfRule>
  </conditionalFormatting>
  <conditionalFormatting sqref="C22">
    <cfRule type="cellIs" priority="11" operator="greaterThan" aboveAverage="0" equalAverage="0" bottom="0" percent="0" rank="0" text="" dxfId="0">
      <formula>18</formula>
    </cfRule>
    <cfRule type="cellIs" priority="12" operator="between" aboveAverage="0" equalAverage="0" bottom="0" percent="0" rank="0" text="" dxfId="1">
      <formula>12</formula>
      <formula>18</formula>
    </cfRule>
    <cfRule type="cellIs" priority="13" operator="lessThanOrEqual" aboveAverage="0" equalAverage="0" bottom="0" percent="0" rank="0" text="" dxfId="2">
      <formula>12</formula>
    </cfRule>
  </conditionalFormatting>
  <conditionalFormatting sqref="D22">
    <cfRule type="cellIs" priority="14" operator="greaterThan" aboveAverage="0" equalAverage="0" bottom="0" percent="0" rank="0" text="" dxfId="0">
      <formula>18</formula>
    </cfRule>
    <cfRule type="cellIs" priority="15" operator="between" aboveAverage="0" equalAverage="0" bottom="0" percent="0" rank="0" text="" dxfId="1">
      <formula>12</formula>
      <formula>18</formula>
    </cfRule>
    <cfRule type="cellIs" priority="16" operator="lessThanOrEqual" aboveAverage="0" equalAverage="0" bottom="0" percent="0" rank="0" text="" dxfId="2">
      <formula>12</formula>
    </cfRule>
  </conditionalFormatting>
  <conditionalFormatting sqref="E22">
    <cfRule type="cellIs" priority="17" operator="greaterThan" aboveAverage="0" equalAverage="0" bottom="0" percent="0" rank="0" text="" dxfId="0">
      <formula>18</formula>
    </cfRule>
    <cfRule type="cellIs" priority="18" operator="between" aboveAverage="0" equalAverage="0" bottom="0" percent="0" rank="0" text="" dxfId="1">
      <formula>12</formula>
      <formula>18</formula>
    </cfRule>
    <cfRule type="cellIs" priority="19" operator="lessThanOrEqual" aboveAverage="0" equalAverage="0" bottom="0" percent="0" rank="0" text="" dxfId="2">
      <formula>12</formula>
    </cfRule>
  </conditionalFormatting>
  <conditionalFormatting sqref="C31:G35">
    <cfRule type="colorScale" priority="20">
      <colorScale>
        <cfvo type="num" val="1"/>
        <cfvo type="num" val="3"/>
        <cfvo type="num" val="6"/>
        <color rgb="FFFECACA"/>
        <color rgb="FFFEF3C7"/>
        <color rgb="FFDCFCE7"/>
      </colorScale>
    </cfRule>
  </conditionalFormatting>
  <conditionalFormatting sqref="E39:E46">
    <cfRule type="expression" priority="21" aboveAverage="0" equalAverage="0" bottom="0" percent="0" rank="0" text="" dxfId="3">
      <formula>E39="OK"</formula>
    </cfRule>
    <cfRule type="expression" priority="22" aboveAverage="0" equalAverage="0" bottom="0" percent="0" rank="0" text="" dxfId="4">
      <formula>OR(E39="FAIL",E39="FAIL")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AA44"/>
  <sheetViews>
    <sheetView showFormulas="false" showGridLines="true" showRowColHeaders="true" showZeros="true" rightToLeft="false" tabSelected="false" showOutlineSymbols="true" defaultGridColor="true" view="normal" topLeftCell="A1" colorId="64" zoomScale="173" zoomScaleNormal="173" zoomScalePageLayoutView="100" workbookViewId="0">
      <pane xSplit="2" ySplit="21" topLeftCell="C26" activePane="bottomRight" state="frozen"/>
      <selection pane="topLeft" activeCell="A1" activeCellId="0" sqref="A1"/>
      <selection pane="topRight" activeCell="C1" activeCellId="0" sqref="C1"/>
      <selection pane="bottomLeft" activeCell="A26" activeCellId="0" sqref="A26"/>
      <selection pane="bottomRight" activeCell="C40" activeCellId="0" sqref="C40"/>
    </sheetView>
  </sheetViews>
  <sheetFormatPr defaultColWidth="8.6796875" defaultRowHeight="16.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26" min="3" style="0" width="13"/>
    <col collapsed="false" customWidth="true" hidden="false" outlineLevel="0" max="27" min="27" style="0" width="16"/>
  </cols>
  <sheetData>
    <row r="2" customFormat="false" ht="30" hidden="true" customHeight="true" outlineLevel="0" collapsed="false">
      <c r="B2" s="1" t="s">
        <v>112</v>
      </c>
      <c r="C2" s="1"/>
      <c r="D2" s="1"/>
      <c r="E2" s="1"/>
      <c r="F2" s="1"/>
      <c r="G2" s="1"/>
      <c r="H2" s="1"/>
    </row>
    <row r="3" customFormat="false" ht="16.5" hidden="true" customHeight="false" outlineLevel="0" collapsed="false"/>
    <row r="4" customFormat="false" ht="15" hidden="true" customHeight="true" outlineLevel="0" collapsed="false">
      <c r="B4" s="44" t="s">
        <v>113</v>
      </c>
      <c r="C4" s="45" t="s">
        <v>5</v>
      </c>
      <c r="D4" s="2" t="s">
        <v>114</v>
      </c>
      <c r="E4" s="2"/>
      <c r="F4" s="2"/>
      <c r="G4" s="2"/>
      <c r="H4" s="2"/>
    </row>
    <row r="5" customFormat="false" ht="16.5" hidden="true" customHeight="false" outlineLevel="0" collapsed="false"/>
    <row r="6" customFormat="false" ht="16.5" hidden="true" customHeight="false" outlineLevel="0" collapsed="false">
      <c r="B6" s="46" t="s">
        <v>115</v>
      </c>
      <c r="C6" s="46" t="n">
        <f aca="false">MATCH(C4,{"Optimistic","Base","Pessimistic"},0)</f>
        <v>3</v>
      </c>
    </row>
    <row r="7" customFormat="false" ht="16.5" hidden="true" customHeight="false" outlineLevel="0" collapsed="false">
      <c r="B7" s="47" t="s">
        <v>116</v>
      </c>
    </row>
    <row r="8" customFormat="false" ht="16.5" hidden="true" customHeight="false" outlineLevel="0" collapsed="false">
      <c r="B8" s="48" t="s">
        <v>117</v>
      </c>
      <c r="C8" s="49" t="n">
        <f aca="false">CHOOSE($C$6,'1. Assumptions'!C7,'1. Assumptions'!D7,'1. Assumptions'!E7)</f>
        <v>8000000</v>
      </c>
    </row>
    <row r="9" customFormat="false" ht="16.5" hidden="true" customHeight="false" outlineLevel="0" collapsed="false">
      <c r="B9" s="48" t="s">
        <v>118</v>
      </c>
      <c r="C9" s="50" t="n">
        <f aca="false">CHOOSE($C$6,'1. Assumptions'!C8,'1. Assumptions'!D8,'1. Assumptions'!E8)</f>
        <v>0.001</v>
      </c>
    </row>
    <row r="10" customFormat="false" ht="16.5" hidden="true" customHeight="false" outlineLevel="0" collapsed="false">
      <c r="B10" s="48" t="s">
        <v>119</v>
      </c>
      <c r="C10" s="49" t="n">
        <f aca="false">CHOOSE($C$6,'1. Assumptions'!C9,'1. Assumptions'!D9,'1. Assumptions'!E9)</f>
        <v>10000</v>
      </c>
    </row>
    <row r="11" customFormat="false" ht="16.5" hidden="true" customHeight="false" outlineLevel="0" collapsed="false">
      <c r="B11" s="48" t="s">
        <v>120</v>
      </c>
      <c r="C11" s="49" t="n">
        <f aca="false">CHOOSE($C$6,'1. Assumptions'!C15,'1. Assumptions'!D15,'1. Assumptions'!E15)</f>
        <v>5000000</v>
      </c>
    </row>
    <row r="12" customFormat="false" ht="16.5" hidden="true" customHeight="false" outlineLevel="0" collapsed="false">
      <c r="B12" s="48" t="s">
        <v>121</v>
      </c>
      <c r="C12" s="50" t="n">
        <f aca="false">CHOOSE($C$6,'1. Assumptions'!C18,'1. Assumptions'!D18,'1. Assumptions'!E18)</f>
        <v>0.045</v>
      </c>
    </row>
    <row r="13" customFormat="false" ht="16.5" hidden="true" customHeight="false" outlineLevel="0" collapsed="false">
      <c r="B13" s="48" t="s">
        <v>122</v>
      </c>
      <c r="C13" s="49" t="n">
        <f aca="false">CHOOSE($C$6,'1. Assumptions'!C22,'1. Assumptions'!D22,'1. Assumptions'!E22)</f>
        <v>67500000</v>
      </c>
    </row>
    <row r="14" customFormat="false" ht="16.5" hidden="true" customHeight="false" outlineLevel="0" collapsed="false">
      <c r="B14" s="48" t="s">
        <v>123</v>
      </c>
      <c r="C14" s="49" t="n">
        <f aca="false">CHOOSE($C$6,'1. Assumptions'!C28,'1. Assumptions'!D28,'1. Assumptions'!E28)</f>
        <v>140000000</v>
      </c>
    </row>
    <row r="15" customFormat="false" ht="16.5" hidden="true" customHeight="false" outlineLevel="0" collapsed="false">
      <c r="B15" s="48" t="s">
        <v>124</v>
      </c>
      <c r="C15" s="49" t="n">
        <f aca="false">CHOOSE($C$6,'1. Assumptions'!C31,'1. Assumptions'!D31,'1. Assumptions'!E31)</f>
        <v>800000000</v>
      </c>
    </row>
    <row r="16" customFormat="false" ht="16.5" hidden="true" customHeight="false" outlineLevel="0" collapsed="false">
      <c r="B16" s="48" t="s">
        <v>125</v>
      </c>
      <c r="C16" s="49" t="n">
        <f aca="false">CHOOSE($C$6,'1. Assumptions'!C32,'1. Assumptions'!D32,'1. Assumptions'!E32)</f>
        <v>10000000000</v>
      </c>
    </row>
    <row r="17" customFormat="false" ht="16.5" hidden="true" customHeight="false" outlineLevel="0" collapsed="false">
      <c r="B17" s="48" t="s">
        <v>126</v>
      </c>
      <c r="C17" s="50" t="n">
        <f aca="false">CHOOSE($C$6,'1. Assumptions'!C36,'1. Assumptions'!D36,'1. Assumptions'!E36)</f>
        <v>0.0187692651215061</v>
      </c>
    </row>
    <row r="20" customFormat="false" ht="15.75" hidden="false" customHeight="true" outlineLevel="0" collapsed="false">
      <c r="B20" s="3" t="s">
        <v>127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customFormat="false" ht="16.5" hidden="false" customHeight="false" outlineLevel="0" collapsed="false">
      <c r="B21" s="51" t="s">
        <v>128</v>
      </c>
      <c r="C21" s="52" t="s">
        <v>129</v>
      </c>
      <c r="D21" s="52" t="s">
        <v>130</v>
      </c>
      <c r="E21" s="52" t="s">
        <v>131</v>
      </c>
      <c r="F21" s="52" t="s">
        <v>132</v>
      </c>
      <c r="G21" s="52" t="s">
        <v>133</v>
      </c>
      <c r="H21" s="52" t="s">
        <v>134</v>
      </c>
      <c r="I21" s="52" t="s">
        <v>135</v>
      </c>
      <c r="J21" s="52" t="s">
        <v>136</v>
      </c>
      <c r="K21" s="52" t="s">
        <v>137</v>
      </c>
      <c r="L21" s="52" t="s">
        <v>138</v>
      </c>
      <c r="M21" s="52" t="s">
        <v>139</v>
      </c>
      <c r="N21" s="52" t="s">
        <v>140</v>
      </c>
      <c r="O21" s="52" t="s">
        <v>141</v>
      </c>
      <c r="P21" s="52" t="s">
        <v>142</v>
      </c>
      <c r="Q21" s="52" t="s">
        <v>143</v>
      </c>
      <c r="R21" s="52" t="s">
        <v>144</v>
      </c>
      <c r="S21" s="52" t="s">
        <v>145</v>
      </c>
      <c r="T21" s="52" t="s">
        <v>146</v>
      </c>
      <c r="U21" s="52" t="s">
        <v>147</v>
      </c>
      <c r="V21" s="52" t="s">
        <v>148</v>
      </c>
      <c r="W21" s="52" t="s">
        <v>149</v>
      </c>
      <c r="X21" s="52" t="s">
        <v>150</v>
      </c>
      <c r="Y21" s="52" t="s">
        <v>151</v>
      </c>
      <c r="Z21" s="52" t="s">
        <v>152</v>
      </c>
      <c r="AA21" s="53" t="s">
        <v>153</v>
      </c>
    </row>
    <row r="22" customFormat="false" ht="16.5" hidden="false" customHeight="false" outlineLevel="0" collapsed="false">
      <c r="B22" s="9" t="s">
        <v>154</v>
      </c>
      <c r="C22" s="54" t="n">
        <f aca="false">ROUND($C$10*$C$9,0)</f>
        <v>10</v>
      </c>
      <c r="D22" s="54" t="n">
        <f aca="false">ROUND($C$10*$C$9,0)</f>
        <v>10</v>
      </c>
      <c r="E22" s="54" t="n">
        <f aca="false">ROUND($C$10*$C$9,0)</f>
        <v>10</v>
      </c>
      <c r="F22" s="54" t="n">
        <f aca="false">ROUND($C$10*$C$9,0)</f>
        <v>10</v>
      </c>
      <c r="G22" s="54" t="n">
        <f aca="false">ROUND($C$10*$C$9,0)</f>
        <v>10</v>
      </c>
      <c r="H22" s="54" t="n">
        <f aca="false">ROUND($C$10*$C$9,0)</f>
        <v>10</v>
      </c>
      <c r="I22" s="54" t="n">
        <f aca="false">ROUND($C$10*$C$9,0)</f>
        <v>10</v>
      </c>
      <c r="J22" s="54" t="n">
        <f aca="false">ROUND($C$10*$C$9,0)</f>
        <v>10</v>
      </c>
      <c r="K22" s="54" t="n">
        <f aca="false">ROUND($C$10*$C$9,0)</f>
        <v>10</v>
      </c>
      <c r="L22" s="54" t="n">
        <f aca="false">ROUND($C$10*$C$9,0)</f>
        <v>10</v>
      </c>
      <c r="M22" s="54" t="n">
        <f aca="false">ROUND($C$10*$C$9,0)</f>
        <v>10</v>
      </c>
      <c r="N22" s="54" t="n">
        <f aca="false">ROUND($C$10*$C$9,0)</f>
        <v>10</v>
      </c>
      <c r="O22" s="54" t="n">
        <f aca="false">ROUND($C$10*$C$9,0)</f>
        <v>10</v>
      </c>
      <c r="P22" s="54" t="n">
        <f aca="false">ROUND($C$10*$C$9,0)</f>
        <v>10</v>
      </c>
      <c r="Q22" s="54" t="n">
        <f aca="false">ROUND($C$10*$C$9,0)</f>
        <v>10</v>
      </c>
      <c r="R22" s="54" t="n">
        <f aca="false">ROUND($C$10*$C$9,0)</f>
        <v>10</v>
      </c>
      <c r="S22" s="54" t="n">
        <f aca="false">ROUND($C$10*$C$9,0)</f>
        <v>10</v>
      </c>
      <c r="T22" s="54" t="n">
        <f aca="false">ROUND($C$10*$C$9,0)</f>
        <v>10</v>
      </c>
      <c r="U22" s="54" t="n">
        <f aca="false">ROUND($C$10*$C$9,0)</f>
        <v>10</v>
      </c>
      <c r="V22" s="54" t="n">
        <f aca="false">ROUND($C$10*$C$9,0)</f>
        <v>10</v>
      </c>
      <c r="W22" s="54" t="n">
        <f aca="false">ROUND($C$10*$C$9,0)</f>
        <v>10</v>
      </c>
      <c r="X22" s="54" t="n">
        <f aca="false">ROUND($C$10*$C$9,0)</f>
        <v>10</v>
      </c>
      <c r="Y22" s="54" t="n">
        <f aca="false">ROUND($C$10*$C$9,0)</f>
        <v>10</v>
      </c>
      <c r="Z22" s="54" t="n">
        <f aca="false">ROUND($C$10*$C$9,0)</f>
        <v>10</v>
      </c>
      <c r="AA22" s="55" t="n">
        <f aca="false">SUM(C22:Z22)</f>
        <v>240</v>
      </c>
    </row>
    <row r="23" customFormat="false" ht="16.5" hidden="false" customHeight="false" outlineLevel="0" collapsed="false">
      <c r="B23" s="9" t="s">
        <v>155</v>
      </c>
      <c r="C23" s="54" t="n">
        <f aca="false">C22</f>
        <v>10</v>
      </c>
      <c r="D23" s="54" t="n">
        <f aca="false">C23*(1-$C$12)+D22</f>
        <v>19.55</v>
      </c>
      <c r="E23" s="54" t="n">
        <f aca="false">D23*(1-$C$12)+E22</f>
        <v>28.67025</v>
      </c>
      <c r="F23" s="54" t="n">
        <f aca="false">E23*(1-$C$12)+F22</f>
        <v>37.38008875</v>
      </c>
      <c r="G23" s="54" t="n">
        <f aca="false">F23*(1-$C$12)+G22</f>
        <v>45.69798475625</v>
      </c>
      <c r="H23" s="54" t="n">
        <f aca="false">G23*(1-$C$12)+H22</f>
        <v>53.6415754422187</v>
      </c>
      <c r="I23" s="54" t="n">
        <f aca="false">H23*(1-$C$12)+I22</f>
        <v>61.2277045473189</v>
      </c>
      <c r="J23" s="54" t="n">
        <f aca="false">I23*(1-$C$12)+J22</f>
        <v>68.4724578426896</v>
      </c>
      <c r="K23" s="54" t="n">
        <f aca="false">J23*(1-$C$12)+K22</f>
        <v>75.3911972397685</v>
      </c>
      <c r="L23" s="54" t="n">
        <f aca="false">K23*(1-$C$12)+L22</f>
        <v>81.9985933639789</v>
      </c>
      <c r="M23" s="54" t="n">
        <f aca="false">L23*(1-$C$12)+M22</f>
        <v>88.3086566625999</v>
      </c>
      <c r="N23" s="54" t="n">
        <f aca="false">M23*(1-$C$12)+N22</f>
        <v>94.3347671127829</v>
      </c>
      <c r="O23" s="54" t="n">
        <f aca="false">N23*(1-$C$12)+O22</f>
        <v>100.089702592708</v>
      </c>
      <c r="P23" s="54" t="n">
        <f aca="false">O23*(1-$C$12)+P22</f>
        <v>105.585665976036</v>
      </c>
      <c r="Q23" s="54" t="n">
        <f aca="false">P23*(1-$C$12)+Q22</f>
        <v>110.834311007114</v>
      </c>
      <c r="R23" s="54" t="n">
        <f aca="false">Q23*(1-$C$12)+R22</f>
        <v>115.846767011794</v>
      </c>
      <c r="S23" s="54" t="n">
        <f aca="false">R23*(1-$C$12)+S22</f>
        <v>120.633662496263</v>
      </c>
      <c r="T23" s="54" t="n">
        <f aca="false">S23*(1-$C$12)+T22</f>
        <v>125.205147683931</v>
      </c>
      <c r="U23" s="54" t="n">
        <f aca="false">T23*(1-$C$12)+U22</f>
        <v>129.570916038155</v>
      </c>
      <c r="V23" s="54" t="n">
        <f aca="false">U23*(1-$C$12)+V22</f>
        <v>133.740224816438</v>
      </c>
      <c r="W23" s="54" t="n">
        <f aca="false">V23*(1-$C$12)+W22</f>
        <v>137.721914699698</v>
      </c>
      <c r="X23" s="54" t="n">
        <f aca="false">W23*(1-$C$12)+X22</f>
        <v>141.524428538211</v>
      </c>
      <c r="Y23" s="54" t="n">
        <f aca="false">X23*(1-$C$12)+Y22</f>
        <v>145.155829253992</v>
      </c>
      <c r="Z23" s="54" t="n">
        <f aca="false">Y23*(1-$C$12)+Z22</f>
        <v>148.623816937562</v>
      </c>
    </row>
    <row r="25" customFormat="false" ht="16.5" hidden="false" customHeight="false" outlineLevel="0" collapsed="false">
      <c r="B25" s="56" t="s">
        <v>156</v>
      </c>
      <c r="C25" s="57" t="n">
        <f aca="false">C23*$C$8</f>
        <v>80000000</v>
      </c>
      <c r="D25" s="57" t="n">
        <f aca="false">D23*$C$8</f>
        <v>156400000</v>
      </c>
      <c r="E25" s="57" t="n">
        <f aca="false">E23*$C$8</f>
        <v>229362000</v>
      </c>
      <c r="F25" s="57" t="n">
        <f aca="false">F23*$C$8</f>
        <v>299040710</v>
      </c>
      <c r="G25" s="57" t="n">
        <f aca="false">G23*$C$8</f>
        <v>365583878.05</v>
      </c>
      <c r="H25" s="57" t="n">
        <f aca="false">H23*$C$8</f>
        <v>429132603.53775</v>
      </c>
      <c r="I25" s="57" t="n">
        <f aca="false">I23*$C$8</f>
        <v>489821636.378551</v>
      </c>
      <c r="J25" s="57" t="n">
        <f aca="false">J23*$C$8</f>
        <v>547779662.741516</v>
      </c>
      <c r="K25" s="57" t="n">
        <f aca="false">K23*$C$8</f>
        <v>603129577.918148</v>
      </c>
      <c r="L25" s="57" t="n">
        <f aca="false">L23*$C$8</f>
        <v>655988746.911831</v>
      </c>
      <c r="M25" s="57" t="n">
        <f aca="false">M23*$C$8</f>
        <v>706469253.300799</v>
      </c>
      <c r="N25" s="57" t="n">
        <f aca="false">N23*$C$8</f>
        <v>754678136.902263</v>
      </c>
      <c r="O25" s="57" t="n">
        <f aca="false">O23*$C$8</f>
        <v>800717620.741661</v>
      </c>
      <c r="P25" s="57" t="n">
        <f aca="false">P23*$C$8</f>
        <v>844685327.808286</v>
      </c>
      <c r="Q25" s="57" t="n">
        <f aca="false">Q23*$C$8</f>
        <v>886674488.056913</v>
      </c>
      <c r="R25" s="57" t="n">
        <f aca="false">R23*$C$8</f>
        <v>926774136.094352</v>
      </c>
      <c r="S25" s="57" t="n">
        <f aca="false">S23*$C$8</f>
        <v>965069299.970106</v>
      </c>
      <c r="T25" s="57" t="n">
        <f aca="false">T23*$C$8</f>
        <v>1001641181.47145</v>
      </c>
      <c r="U25" s="57" t="n">
        <f aca="false">U23*$C$8</f>
        <v>1036567328.30524</v>
      </c>
      <c r="V25" s="57" t="n">
        <f aca="false">V23*$C$8</f>
        <v>1069921798.5315</v>
      </c>
      <c r="W25" s="57" t="n">
        <f aca="false">W23*$C$8</f>
        <v>1101775317.59758</v>
      </c>
      <c r="X25" s="57" t="n">
        <f aca="false">X23*$C$8</f>
        <v>1132195428.30569</v>
      </c>
      <c r="Y25" s="57" t="n">
        <f aca="false">Y23*$C$8</f>
        <v>1161246634.03194</v>
      </c>
      <c r="Z25" s="57" t="n">
        <f aca="false">Z23*$C$8</f>
        <v>1188990535.5005</v>
      </c>
      <c r="AA25" s="58" t="n">
        <f aca="false">SUM(C25:Z25)</f>
        <v>17433645302.1561</v>
      </c>
    </row>
    <row r="26" customFormat="false" ht="16.5" hidden="false" customHeight="false" outlineLevel="0" collapsed="false">
      <c r="B26" s="9" t="s">
        <v>157</v>
      </c>
      <c r="C26" s="54" t="n">
        <f aca="false">C23*$C$11</f>
        <v>50000000</v>
      </c>
      <c r="D26" s="54" t="n">
        <f aca="false">D23*$C$11</f>
        <v>97750000</v>
      </c>
      <c r="E26" s="54" t="n">
        <f aca="false">E23*$C$11</f>
        <v>143351250</v>
      </c>
      <c r="F26" s="54" t="n">
        <f aca="false">F23*$C$11</f>
        <v>186900443.75</v>
      </c>
      <c r="G26" s="54" t="n">
        <f aca="false">G23*$C$11</f>
        <v>228489923.78125</v>
      </c>
      <c r="H26" s="54" t="n">
        <f aca="false">H23*$C$11</f>
        <v>268207877.211094</v>
      </c>
      <c r="I26" s="54" t="n">
        <f aca="false">I23*$C$11</f>
        <v>306138522.736595</v>
      </c>
      <c r="J26" s="54" t="n">
        <f aca="false">J23*$C$11</f>
        <v>342362289.213448</v>
      </c>
      <c r="K26" s="54" t="n">
        <f aca="false">K23*$C$11</f>
        <v>376955986.198843</v>
      </c>
      <c r="L26" s="54" t="n">
        <f aca="false">L23*$C$11</f>
        <v>409992966.819895</v>
      </c>
      <c r="M26" s="54" t="n">
        <f aca="false">M23*$C$11</f>
        <v>441543283.312999</v>
      </c>
      <c r="N26" s="54" t="n">
        <f aca="false">N23*$C$11</f>
        <v>471673835.563914</v>
      </c>
      <c r="O26" s="54" t="n">
        <f aca="false">O23*$C$11</f>
        <v>500448512.963538</v>
      </c>
      <c r="P26" s="54" t="n">
        <f aca="false">P23*$C$11</f>
        <v>527928329.880179</v>
      </c>
      <c r="Q26" s="54" t="n">
        <f aca="false">Q23*$C$11</f>
        <v>554171555.035571</v>
      </c>
      <c r="R26" s="54" t="n">
        <f aca="false">R23*$C$11</f>
        <v>579233835.05897</v>
      </c>
      <c r="S26" s="54" t="n">
        <f aca="false">S23*$C$11</f>
        <v>603168312.481316</v>
      </c>
      <c r="T26" s="54" t="n">
        <f aca="false">T23*$C$11</f>
        <v>626025738.419657</v>
      </c>
      <c r="U26" s="54" t="n">
        <f aca="false">U23*$C$11</f>
        <v>647854580.190773</v>
      </c>
      <c r="V26" s="54" t="n">
        <f aca="false">V23*$C$11</f>
        <v>668701124.082188</v>
      </c>
      <c r="W26" s="54" t="n">
        <f aca="false">W23*$C$11</f>
        <v>688609573.498489</v>
      </c>
      <c r="X26" s="54" t="n">
        <f aca="false">X23*$C$11</f>
        <v>707622142.691057</v>
      </c>
      <c r="Y26" s="54" t="n">
        <f aca="false">Y23*$C$11</f>
        <v>725779146.269959</v>
      </c>
      <c r="Z26" s="54" t="n">
        <f aca="false">Z23*$C$11</f>
        <v>743119084.687811</v>
      </c>
      <c r="AA26" s="55" t="n">
        <f aca="false">SUM(C26:Z26)</f>
        <v>10896028313.8475</v>
      </c>
    </row>
    <row r="27" customFormat="false" ht="16.5" hidden="false" customHeight="false" outlineLevel="0" collapsed="false">
      <c r="B27" s="8" t="s">
        <v>158</v>
      </c>
      <c r="C27" s="59" t="n">
        <f aca="false">C25-C26</f>
        <v>30000000</v>
      </c>
      <c r="D27" s="59" t="n">
        <f aca="false">D25-D26</f>
        <v>58650000</v>
      </c>
      <c r="E27" s="59" t="n">
        <f aca="false">E25-E26</f>
        <v>86010750</v>
      </c>
      <c r="F27" s="59" t="n">
        <f aca="false">F25-F26</f>
        <v>112140266.25</v>
      </c>
      <c r="G27" s="59" t="n">
        <f aca="false">G25-G26</f>
        <v>137093954.26875</v>
      </c>
      <c r="H27" s="59" t="n">
        <f aca="false">H25-H26</f>
        <v>160924726.326656</v>
      </c>
      <c r="I27" s="59" t="n">
        <f aca="false">I25-I26</f>
        <v>183683113.641957</v>
      </c>
      <c r="J27" s="59" t="n">
        <f aca="false">J25-J26</f>
        <v>205417373.528069</v>
      </c>
      <c r="K27" s="59" t="n">
        <f aca="false">K25-K26</f>
        <v>226173591.719306</v>
      </c>
      <c r="L27" s="59" t="n">
        <f aca="false">L25-L26</f>
        <v>245995780.091937</v>
      </c>
      <c r="M27" s="59" t="n">
        <f aca="false">M25-M26</f>
        <v>264925969.9878</v>
      </c>
      <c r="N27" s="59" t="n">
        <f aca="false">N25-N26</f>
        <v>283004301.338349</v>
      </c>
      <c r="O27" s="59" t="n">
        <f aca="false">O25-O26</f>
        <v>300269107.778123</v>
      </c>
      <c r="P27" s="59" t="n">
        <f aca="false">P25-P26</f>
        <v>316756997.928107</v>
      </c>
      <c r="Q27" s="59" t="n">
        <f aca="false">Q25-Q26</f>
        <v>332502933.021343</v>
      </c>
      <c r="R27" s="59" t="n">
        <f aca="false">R25-R26</f>
        <v>347540301.035382</v>
      </c>
      <c r="S27" s="59" t="n">
        <f aca="false">S25-S26</f>
        <v>361900987.48879</v>
      </c>
      <c r="T27" s="59" t="n">
        <f aca="false">T25-T26</f>
        <v>375615443.051794</v>
      </c>
      <c r="U27" s="59" t="n">
        <f aca="false">U25-U26</f>
        <v>388712748.114464</v>
      </c>
      <c r="V27" s="59" t="n">
        <f aca="false">V25-V26</f>
        <v>401220674.449313</v>
      </c>
      <c r="W27" s="59" t="n">
        <f aca="false">W25-W26</f>
        <v>413165744.099093</v>
      </c>
      <c r="X27" s="59" t="n">
        <f aca="false">X25-X26</f>
        <v>424573285.614634</v>
      </c>
      <c r="Y27" s="59" t="n">
        <f aca="false">Y25-Y26</f>
        <v>435467487.761976</v>
      </c>
      <c r="Z27" s="59" t="n">
        <f aca="false">Z25-Z26</f>
        <v>445871450.812687</v>
      </c>
      <c r="AA27" s="55" t="n">
        <f aca="false">SUM(C27:Z27)</f>
        <v>6537616988.30853</v>
      </c>
    </row>
    <row r="28" customFormat="false" ht="16.5" hidden="false" customHeight="false" outlineLevel="0" collapsed="false">
      <c r="B28" s="9" t="s">
        <v>159</v>
      </c>
      <c r="C28" s="54" t="n">
        <f aca="false">C22*$C$13</f>
        <v>675000000</v>
      </c>
      <c r="D28" s="54" t="n">
        <f aca="false">D22*$C$13</f>
        <v>675000000</v>
      </c>
      <c r="E28" s="54" t="n">
        <f aca="false">E22*$C$13</f>
        <v>675000000</v>
      </c>
      <c r="F28" s="54" t="n">
        <f aca="false">F22*$C$13</f>
        <v>675000000</v>
      </c>
      <c r="G28" s="54" t="n">
        <f aca="false">G22*$C$13</f>
        <v>675000000</v>
      </c>
      <c r="H28" s="54" t="n">
        <f aca="false">H22*$C$13</f>
        <v>675000000</v>
      </c>
      <c r="I28" s="54" t="n">
        <f aca="false">I22*$C$13</f>
        <v>675000000</v>
      </c>
      <c r="J28" s="54" t="n">
        <f aca="false">J22*$C$13</f>
        <v>675000000</v>
      </c>
      <c r="K28" s="54" t="n">
        <f aca="false">K22*$C$13</f>
        <v>675000000</v>
      </c>
      <c r="L28" s="54" t="n">
        <f aca="false">L22*$C$13</f>
        <v>675000000</v>
      </c>
      <c r="M28" s="54" t="n">
        <f aca="false">M22*$C$13</f>
        <v>675000000</v>
      </c>
      <c r="N28" s="54" t="n">
        <f aca="false">N22*$C$13</f>
        <v>675000000</v>
      </c>
      <c r="O28" s="54" t="n">
        <f aca="false">O22*$C$13</f>
        <v>675000000</v>
      </c>
      <c r="P28" s="54" t="n">
        <f aca="false">P22*$C$13</f>
        <v>675000000</v>
      </c>
      <c r="Q28" s="54" t="n">
        <f aca="false">Q22*$C$13</f>
        <v>675000000</v>
      </c>
      <c r="R28" s="54" t="n">
        <f aca="false">R22*$C$13</f>
        <v>675000000</v>
      </c>
      <c r="S28" s="54" t="n">
        <f aca="false">S22*$C$13</f>
        <v>675000000</v>
      </c>
      <c r="T28" s="54" t="n">
        <f aca="false">T22*$C$13</f>
        <v>675000000</v>
      </c>
      <c r="U28" s="54" t="n">
        <f aca="false">U22*$C$13</f>
        <v>675000000</v>
      </c>
      <c r="V28" s="54" t="n">
        <f aca="false">V22*$C$13</f>
        <v>675000000</v>
      </c>
      <c r="W28" s="54" t="n">
        <f aca="false">W22*$C$13</f>
        <v>675000000</v>
      </c>
      <c r="X28" s="54" t="n">
        <f aca="false">X22*$C$13</f>
        <v>675000000</v>
      </c>
      <c r="Y28" s="54" t="n">
        <f aca="false">Y22*$C$13</f>
        <v>675000000</v>
      </c>
      <c r="Z28" s="54" t="n">
        <f aca="false">Z22*$C$13</f>
        <v>675000000</v>
      </c>
      <c r="AA28" s="55" t="n">
        <f aca="false">SUM(C28:Z28)</f>
        <v>16200000000</v>
      </c>
    </row>
    <row r="29" customFormat="false" ht="16.5" hidden="false" customHeight="false" outlineLevel="0" collapsed="false">
      <c r="B29" s="9" t="s">
        <v>160</v>
      </c>
      <c r="C29" s="54" t="n">
        <f aca="false">$C$14</f>
        <v>140000000</v>
      </c>
      <c r="D29" s="54" t="n">
        <f aca="false">$C$14</f>
        <v>140000000</v>
      </c>
      <c r="E29" s="54" t="n">
        <f aca="false">$C$14</f>
        <v>140000000</v>
      </c>
      <c r="F29" s="54" t="n">
        <f aca="false">$C$14</f>
        <v>140000000</v>
      </c>
      <c r="G29" s="54" t="n">
        <f aca="false">$C$14</f>
        <v>140000000</v>
      </c>
      <c r="H29" s="54" t="n">
        <f aca="false">$C$14</f>
        <v>140000000</v>
      </c>
      <c r="I29" s="54" t="n">
        <f aca="false">$C$14</f>
        <v>140000000</v>
      </c>
      <c r="J29" s="54" t="n">
        <f aca="false">$C$14</f>
        <v>140000000</v>
      </c>
      <c r="K29" s="54" t="n">
        <f aca="false">$C$14</f>
        <v>140000000</v>
      </c>
      <c r="L29" s="54" t="n">
        <f aca="false">$C$14</f>
        <v>140000000</v>
      </c>
      <c r="M29" s="54" t="n">
        <f aca="false">$C$14</f>
        <v>140000000</v>
      </c>
      <c r="N29" s="54" t="n">
        <f aca="false">$C$14</f>
        <v>140000000</v>
      </c>
      <c r="O29" s="54" t="n">
        <f aca="false">$C$14</f>
        <v>140000000</v>
      </c>
      <c r="P29" s="54" t="n">
        <f aca="false">$C$14</f>
        <v>140000000</v>
      </c>
      <c r="Q29" s="54" t="n">
        <f aca="false">$C$14</f>
        <v>140000000</v>
      </c>
      <c r="R29" s="54" t="n">
        <f aca="false">$C$14</f>
        <v>140000000</v>
      </c>
      <c r="S29" s="54" t="n">
        <f aca="false">$C$14</f>
        <v>140000000</v>
      </c>
      <c r="T29" s="54" t="n">
        <f aca="false">$C$14</f>
        <v>140000000</v>
      </c>
      <c r="U29" s="54" t="n">
        <f aca="false">$C$14</f>
        <v>140000000</v>
      </c>
      <c r="V29" s="54" t="n">
        <f aca="false">$C$14</f>
        <v>140000000</v>
      </c>
      <c r="W29" s="54" t="n">
        <f aca="false">$C$14</f>
        <v>140000000</v>
      </c>
      <c r="X29" s="54" t="n">
        <f aca="false">$C$14</f>
        <v>140000000</v>
      </c>
      <c r="Y29" s="54" t="n">
        <f aca="false">$C$14</f>
        <v>140000000</v>
      </c>
      <c r="Z29" s="54" t="n">
        <f aca="false">$C$14</f>
        <v>140000000</v>
      </c>
      <c r="AA29" s="55" t="n">
        <f aca="false">SUM(C29:Z29)</f>
        <v>3360000000</v>
      </c>
    </row>
    <row r="30" customFormat="false" ht="16.5" hidden="false" customHeight="false" outlineLevel="0" collapsed="false">
      <c r="B30" s="18" t="s">
        <v>161</v>
      </c>
      <c r="C30" s="60" t="n">
        <f aca="false">C27-C28-C29</f>
        <v>-785000000</v>
      </c>
      <c r="D30" s="60" t="n">
        <f aca="false">D27-D28-D29</f>
        <v>-756350000</v>
      </c>
      <c r="E30" s="60" t="n">
        <f aca="false">E27-E28-E29</f>
        <v>-728989250</v>
      </c>
      <c r="F30" s="60" t="n">
        <f aca="false">F27-F28-F29</f>
        <v>-702859733.75</v>
      </c>
      <c r="G30" s="60" t="n">
        <f aca="false">G27-G28-G29</f>
        <v>-677906045.73125</v>
      </c>
      <c r="H30" s="60" t="n">
        <f aca="false">H27-H28-H29</f>
        <v>-654075273.673344</v>
      </c>
      <c r="I30" s="60" t="n">
        <f aca="false">I27-I28-I29</f>
        <v>-631316886.358043</v>
      </c>
      <c r="J30" s="60" t="n">
        <f aca="false">J27-J28-J29</f>
        <v>-609582626.471932</v>
      </c>
      <c r="K30" s="60" t="n">
        <f aca="false">K27-K28-K29</f>
        <v>-588826408.280695</v>
      </c>
      <c r="L30" s="60" t="n">
        <f aca="false">L27-L28-L29</f>
        <v>-569004219.908063</v>
      </c>
      <c r="M30" s="60" t="n">
        <f aca="false">M27-M28-M29</f>
        <v>-550074030.0122</v>
      </c>
      <c r="N30" s="60" t="n">
        <f aca="false">N27-N28-N29</f>
        <v>-531995698.661651</v>
      </c>
      <c r="O30" s="60" t="n">
        <f aca="false">O27-O28-O29</f>
        <v>-514730892.221877</v>
      </c>
      <c r="P30" s="60" t="n">
        <f aca="false">P27-P28-P29</f>
        <v>-498243002.071893</v>
      </c>
      <c r="Q30" s="60" t="n">
        <f aca="false">Q27-Q28-Q29</f>
        <v>-482497066.978658</v>
      </c>
      <c r="R30" s="60" t="n">
        <f aca="false">R27-R28-R29</f>
        <v>-467459698.964618</v>
      </c>
      <c r="S30" s="60" t="n">
        <f aca="false">S27-S28-S29</f>
        <v>-453099012.51121</v>
      </c>
      <c r="T30" s="60" t="n">
        <f aca="false">T27-T28-T29</f>
        <v>-439384556.948206</v>
      </c>
      <c r="U30" s="60" t="n">
        <f aca="false">U27-U28-U29</f>
        <v>-426287251.885536</v>
      </c>
      <c r="V30" s="60" t="n">
        <f aca="false">V27-V28-V29</f>
        <v>-413779325.550687</v>
      </c>
      <c r="W30" s="60" t="n">
        <f aca="false">W27-W28-W29</f>
        <v>-401834255.900907</v>
      </c>
      <c r="X30" s="60" t="n">
        <f aca="false">X27-X28-X29</f>
        <v>-390426714.385366</v>
      </c>
      <c r="Y30" s="60" t="n">
        <f aca="false">Y27-Y28-Y29</f>
        <v>-379532512.238024</v>
      </c>
      <c r="Z30" s="60" t="n">
        <f aca="false">Z27-Z28-Z29</f>
        <v>-369128549.187313</v>
      </c>
      <c r="AA30" s="61" t="n">
        <f aca="false">SUM(C30:Z30)</f>
        <v>-13022383011.6915</v>
      </c>
    </row>
    <row r="32" customFormat="false" ht="16.5" hidden="false" customHeight="false" outlineLevel="0" collapsed="false">
      <c r="B32" s="9" t="s">
        <v>162</v>
      </c>
      <c r="C32" s="54" t="n">
        <f aca="false">C30-$C$15</f>
        <v>-1585000000</v>
      </c>
      <c r="D32" s="54" t="n">
        <f aca="false">D30</f>
        <v>-756350000</v>
      </c>
      <c r="E32" s="54" t="n">
        <f aca="false">E30</f>
        <v>-728989250</v>
      </c>
      <c r="F32" s="54" t="n">
        <f aca="false">F30</f>
        <v>-702859733.75</v>
      </c>
      <c r="G32" s="54" t="n">
        <f aca="false">G30</f>
        <v>-677906045.73125</v>
      </c>
      <c r="H32" s="54" t="n">
        <f aca="false">H30</f>
        <v>-654075273.673344</v>
      </c>
      <c r="I32" s="54" t="n">
        <f aca="false">I30</f>
        <v>-631316886.358043</v>
      </c>
      <c r="J32" s="54" t="n">
        <f aca="false">J30</f>
        <v>-609582626.471932</v>
      </c>
      <c r="K32" s="54" t="n">
        <f aca="false">K30</f>
        <v>-588826408.280695</v>
      </c>
      <c r="L32" s="54" t="n">
        <f aca="false">L30</f>
        <v>-569004219.908063</v>
      </c>
      <c r="M32" s="54" t="n">
        <f aca="false">M30</f>
        <v>-550074030.0122</v>
      </c>
      <c r="N32" s="54" t="n">
        <f aca="false">N30</f>
        <v>-531995698.661651</v>
      </c>
      <c r="O32" s="54" t="n">
        <f aca="false">O30</f>
        <v>-514730892.221877</v>
      </c>
      <c r="P32" s="54" t="n">
        <f aca="false">P30</f>
        <v>-498243002.071893</v>
      </c>
      <c r="Q32" s="54" t="n">
        <f aca="false">Q30</f>
        <v>-482497066.978658</v>
      </c>
      <c r="R32" s="54" t="n">
        <f aca="false">R30</f>
        <v>-467459698.964618</v>
      </c>
      <c r="S32" s="54" t="n">
        <f aca="false">S30</f>
        <v>-453099012.51121</v>
      </c>
      <c r="T32" s="54" t="n">
        <f aca="false">T30</f>
        <v>-439384556.948206</v>
      </c>
      <c r="U32" s="54" t="n">
        <f aca="false">U30</f>
        <v>-426287251.885536</v>
      </c>
      <c r="V32" s="54" t="n">
        <f aca="false">V30</f>
        <v>-413779325.550687</v>
      </c>
      <c r="W32" s="54" t="n">
        <f aca="false">W30</f>
        <v>-401834255.900907</v>
      </c>
      <c r="X32" s="54" t="n">
        <f aca="false">X30</f>
        <v>-390426714.385366</v>
      </c>
      <c r="Y32" s="54" t="n">
        <f aca="false">Y30</f>
        <v>-379532512.238024</v>
      </c>
      <c r="Z32" s="54" t="n">
        <f aca="false">Z30</f>
        <v>-369128549.187313</v>
      </c>
      <c r="AA32" s="55" t="n">
        <f aca="false">SUM(C32:Z32)</f>
        <v>-13822383011.6915</v>
      </c>
    </row>
    <row r="33" customFormat="false" ht="16.5" hidden="false" customHeight="false" outlineLevel="0" collapsed="false">
      <c r="B33" s="62" t="s">
        <v>163</v>
      </c>
      <c r="C33" s="63" t="n">
        <f aca="false">$C$16+C32</f>
        <v>8415000000</v>
      </c>
      <c r="D33" s="63" t="n">
        <f aca="false">C33+D32</f>
        <v>7658650000</v>
      </c>
      <c r="E33" s="63" t="n">
        <f aca="false">D33+E32</f>
        <v>6929660750</v>
      </c>
      <c r="F33" s="63" t="n">
        <f aca="false">E33+F32</f>
        <v>6226801016.25</v>
      </c>
      <c r="G33" s="63" t="n">
        <f aca="false">F33+G32</f>
        <v>5548894970.51875</v>
      </c>
      <c r="H33" s="63" t="n">
        <f aca="false">G33+H32</f>
        <v>4894819696.84541</v>
      </c>
      <c r="I33" s="63" t="n">
        <f aca="false">H33+I32</f>
        <v>4263502810.48736</v>
      </c>
      <c r="J33" s="63" t="n">
        <f aca="false">I33+J32</f>
        <v>3653920184.01543</v>
      </c>
      <c r="K33" s="63" t="n">
        <f aca="false">J33+K32</f>
        <v>3065093775.73474</v>
      </c>
      <c r="L33" s="63" t="n">
        <f aca="false">K33+L32</f>
        <v>2496089555.82667</v>
      </c>
      <c r="M33" s="63" t="n">
        <f aca="false">L33+M32</f>
        <v>1946015525.81447</v>
      </c>
      <c r="N33" s="63" t="n">
        <f aca="false">M33+N32</f>
        <v>1414019827.15282</v>
      </c>
      <c r="O33" s="63" t="n">
        <f aca="false">N33+O32</f>
        <v>899288934.930946</v>
      </c>
      <c r="P33" s="63" t="n">
        <f aca="false">O33+P32</f>
        <v>401045932.859053</v>
      </c>
      <c r="Q33" s="63" t="n">
        <f aca="false">P33+Q32</f>
        <v>-81451134.1196045</v>
      </c>
      <c r="R33" s="63" t="n">
        <f aca="false">Q33+R32</f>
        <v>-548910833.084222</v>
      </c>
      <c r="S33" s="63" t="n">
        <f aca="false">R33+S32</f>
        <v>-1002009845.59543</v>
      </c>
      <c r="T33" s="63" t="n">
        <f aca="false">S33+T32</f>
        <v>-1441394402.54364</v>
      </c>
      <c r="U33" s="63" t="n">
        <f aca="false">T33+U32</f>
        <v>-1867681654.42917</v>
      </c>
      <c r="V33" s="63" t="n">
        <f aca="false">U33+V32</f>
        <v>-2281460979.97986</v>
      </c>
      <c r="W33" s="63" t="n">
        <f aca="false">V33+W32</f>
        <v>-2683295235.88077</v>
      </c>
      <c r="X33" s="63" t="n">
        <f aca="false">W33+X32</f>
        <v>-3073721950.26613</v>
      </c>
      <c r="Y33" s="63" t="n">
        <f aca="false">X33+Y32</f>
        <v>-3453254462.50416</v>
      </c>
      <c r="Z33" s="63" t="n">
        <f aca="false">Y33+Z32</f>
        <v>-3822383011.69147</v>
      </c>
    </row>
    <row r="36" customFormat="false" ht="16.5" hidden="false" customHeight="false" outlineLevel="0" collapsed="false">
      <c r="B36" s="3" t="s">
        <v>164</v>
      </c>
      <c r="C36" s="3"/>
      <c r="D36" s="3"/>
      <c r="E36" s="3"/>
      <c r="F36" s="3"/>
      <c r="G36" s="3"/>
      <c r="H36" s="3"/>
      <c r="I36" s="3"/>
      <c r="J36" s="3"/>
    </row>
    <row r="37" customFormat="false" ht="16.5" hidden="false" customHeight="false" outlineLevel="0" collapsed="false">
      <c r="B37" s="8" t="s">
        <v>165</v>
      </c>
      <c r="C37" s="64" t="n">
        <f aca="false">(NPV($C$17,D32:Z32)+C32)/1000000</f>
        <v>-11713.8346635723</v>
      </c>
      <c r="D37" s="46" t="str">
        <f aca="false">"(target: &gt; 0)"</f>
        <v>(target: &gt; 0)</v>
      </c>
    </row>
    <row r="38" customFormat="false" ht="16.5" hidden="false" customHeight="false" outlineLevel="0" collapsed="false">
      <c r="B38" s="8" t="s">
        <v>166</v>
      </c>
      <c r="C38" s="65" t="n">
        <f aca="false">IFERROR((1+IRR(C32:Z32))^12-1,0)</f>
        <v>0</v>
      </c>
      <c r="D38" s="46" t="str">
        <f aca="false">"(target: &gt; "&amp;TEXT(CHOOSE($C$6,'1. Assumptions'!C35,'1. Assumptions'!D35,'1. Assumptions'!E35),"0.0%")&amp;")"</f>
        <v>(target: &gt; 25.0%)</v>
      </c>
    </row>
    <row r="39" customFormat="false" ht="16.5" hidden="false" customHeight="false" outlineLevel="0" collapsed="false">
      <c r="B39" s="8" t="s">
        <v>167</v>
      </c>
      <c r="C39" s="66" t="str">
        <f aca="false">IFERROR(MATCH(TRUE(),INDEX(C41:Z41&gt;=0,0),0),"&gt; 24")</f>
        <v>&gt; 24</v>
      </c>
      <c r="D39" s="46" t="str">
        <f aca="false">"(target: &lt; 24)"</f>
        <v>(target: &lt; 24)</v>
      </c>
    </row>
    <row r="40" customFormat="false" ht="16.5" hidden="false" customHeight="false" outlineLevel="0" collapsed="false">
      <c r="B40" s="8" t="s">
        <v>168</v>
      </c>
      <c r="C40" s="66" t="n">
        <f aca="false">IFERROR(MATCH(TRUE(),INDEX(C33:Z33&lt;0,0),0)-1,"&gt;= 24")</f>
        <v>14</v>
      </c>
      <c r="D40" s="46" t="str">
        <f aca="false">"(target: &gt;= 12)"</f>
        <v>(target: &gt;= 12)</v>
      </c>
    </row>
    <row r="41" customFormat="false" ht="16.5" hidden="false" customHeight="false" outlineLevel="0" collapsed="false">
      <c r="B41" s="67" t="s">
        <v>169</v>
      </c>
      <c r="C41" s="68" t="n">
        <f aca="false">C32</f>
        <v>-1585000000</v>
      </c>
      <c r="D41" s="68" t="n">
        <f aca="false">C41+D32</f>
        <v>-2341350000</v>
      </c>
      <c r="E41" s="68" t="n">
        <f aca="false">D41+E32</f>
        <v>-3070339250</v>
      </c>
      <c r="F41" s="68" t="n">
        <f aca="false">E41+F32</f>
        <v>-3773198983.75</v>
      </c>
      <c r="G41" s="68" t="n">
        <f aca="false">F41+G32</f>
        <v>-4451105029.48125</v>
      </c>
      <c r="H41" s="68" t="n">
        <f aca="false">G41+H32</f>
        <v>-5105180303.15459</v>
      </c>
      <c r="I41" s="68" t="n">
        <f aca="false">H41+I32</f>
        <v>-5736497189.51264</v>
      </c>
      <c r="J41" s="68" t="n">
        <f aca="false">I41+J32</f>
        <v>-6346079815.98457</v>
      </c>
      <c r="K41" s="68" t="n">
        <f aca="false">J41+K32</f>
        <v>-6934906224.26526</v>
      </c>
      <c r="L41" s="68" t="n">
        <f aca="false">K41+L32</f>
        <v>-7503910444.17333</v>
      </c>
      <c r="M41" s="68" t="n">
        <f aca="false">L41+M32</f>
        <v>-8053984474.18553</v>
      </c>
      <c r="N41" s="68" t="n">
        <f aca="false">M41+N32</f>
        <v>-8585980172.84718</v>
      </c>
      <c r="O41" s="68" t="n">
        <f aca="false">N41+O32</f>
        <v>-9100711065.06905</v>
      </c>
      <c r="P41" s="68" t="n">
        <f aca="false">O41+P32</f>
        <v>-9598954067.14095</v>
      </c>
      <c r="Q41" s="68" t="n">
        <f aca="false">P41+Q32</f>
        <v>-10081451134.1196</v>
      </c>
      <c r="R41" s="68" t="n">
        <f aca="false">Q41+R32</f>
        <v>-10548910833.0842</v>
      </c>
      <c r="S41" s="68" t="n">
        <f aca="false">R41+S32</f>
        <v>-11002009845.5954</v>
      </c>
      <c r="T41" s="68" t="n">
        <f aca="false">S41+T32</f>
        <v>-11441394402.5436</v>
      </c>
      <c r="U41" s="68" t="n">
        <f aca="false">T41+U32</f>
        <v>-11867681654.4292</v>
      </c>
      <c r="V41" s="68" t="n">
        <f aca="false">U41+V32</f>
        <v>-12281460979.9799</v>
      </c>
      <c r="W41" s="68" t="n">
        <f aca="false">V41+W32</f>
        <v>-12683295235.8808</v>
      </c>
      <c r="X41" s="68" t="n">
        <f aca="false">W41+X32</f>
        <v>-13073721950.2661</v>
      </c>
      <c r="Y41" s="68" t="n">
        <f aca="false">X41+Y32</f>
        <v>-13453254462.5042</v>
      </c>
      <c r="Z41" s="68" t="n">
        <f aca="false">Y41+Z32</f>
        <v>-13822383011.6915</v>
      </c>
    </row>
    <row r="43" customFormat="false" ht="16.5" hidden="false" customHeight="false" outlineLevel="0" collapsed="false">
      <c r="B43" s="3" t="s">
        <v>170</v>
      </c>
      <c r="C43" s="3"/>
      <c r="D43" s="3"/>
      <c r="E43" s="3"/>
      <c r="F43" s="3"/>
      <c r="G43" s="3"/>
      <c r="H43" s="3"/>
      <c r="I43" s="3"/>
      <c r="J43" s="3"/>
    </row>
    <row r="44" customFormat="false" ht="55.5" hidden="false" customHeight="true" outlineLevel="0" collapsed="false">
      <c r="B44" s="8" t="s">
        <v>171</v>
      </c>
      <c r="C44" s="69" t="str">
        <f aca="false">IF(AND(C37&gt;0,C38&gt;CHOOSE($C$6,'1. Assumptions'!C35,'1. Assumptions'!D35,'1. Assumptions'!E35)),"✓ GO — NPV+ và IRR &gt; WACC",IF(C37&lt;0,"✗ NO-GO — NPV âm: dự án không tạo giá trị","⚠ HOLD — IRR thấp hơn kỳ vọng, cần điều chỉnh"))</f>
        <v>✗ NO-GO — NPV âm: dự án không tạo giá trị</v>
      </c>
      <c r="D44" s="69"/>
      <c r="E44" s="69"/>
    </row>
  </sheetData>
  <mergeCells count="6">
    <mergeCell ref="B2:H2"/>
    <mergeCell ref="D4:H4"/>
    <mergeCell ref="B20:AA20"/>
    <mergeCell ref="B36:J36"/>
    <mergeCell ref="B43:J43"/>
    <mergeCell ref="C44:E44"/>
  </mergeCells>
  <conditionalFormatting sqref="C33">
    <cfRule type="cellIs" priority="2" operator="lessThan" aboveAverage="0" equalAverage="0" bottom="0" percent="0" rank="0" text="" dxfId="5">
      <formula>0</formula>
    </cfRule>
  </conditionalFormatting>
  <conditionalFormatting sqref="D33">
    <cfRule type="cellIs" priority="3" operator="lessThan" aboveAverage="0" equalAverage="0" bottom="0" percent="0" rank="0" text="" dxfId="5">
      <formula>0</formula>
    </cfRule>
  </conditionalFormatting>
  <conditionalFormatting sqref="E33">
    <cfRule type="cellIs" priority="4" operator="lessThan" aboveAverage="0" equalAverage="0" bottom="0" percent="0" rank="0" text="" dxfId="5">
      <formula>0</formula>
    </cfRule>
  </conditionalFormatting>
  <conditionalFormatting sqref="F33">
    <cfRule type="cellIs" priority="5" operator="lessThan" aboveAverage="0" equalAverage="0" bottom="0" percent="0" rank="0" text="" dxfId="5">
      <formula>0</formula>
    </cfRule>
  </conditionalFormatting>
  <conditionalFormatting sqref="G33">
    <cfRule type="cellIs" priority="6" operator="lessThan" aboveAverage="0" equalAverage="0" bottom="0" percent="0" rank="0" text="" dxfId="5">
      <formula>0</formula>
    </cfRule>
  </conditionalFormatting>
  <conditionalFormatting sqref="H33">
    <cfRule type="cellIs" priority="7" operator="lessThan" aboveAverage="0" equalAverage="0" bottom="0" percent="0" rank="0" text="" dxfId="5">
      <formula>0</formula>
    </cfRule>
  </conditionalFormatting>
  <conditionalFormatting sqref="I33">
    <cfRule type="cellIs" priority="8" operator="lessThan" aboveAverage="0" equalAverage="0" bottom="0" percent="0" rank="0" text="" dxfId="5">
      <formula>0</formula>
    </cfRule>
  </conditionalFormatting>
  <conditionalFormatting sqref="J33">
    <cfRule type="cellIs" priority="9" operator="lessThan" aboveAverage="0" equalAverage="0" bottom="0" percent="0" rank="0" text="" dxfId="5">
      <formula>0</formula>
    </cfRule>
  </conditionalFormatting>
  <conditionalFormatting sqref="K33">
    <cfRule type="cellIs" priority="10" operator="lessThan" aboveAverage="0" equalAverage="0" bottom="0" percent="0" rank="0" text="" dxfId="5">
      <formula>0</formula>
    </cfRule>
  </conditionalFormatting>
  <conditionalFormatting sqref="L33">
    <cfRule type="cellIs" priority="11" operator="lessThan" aboveAverage="0" equalAverage="0" bottom="0" percent="0" rank="0" text="" dxfId="5">
      <formula>0</formula>
    </cfRule>
  </conditionalFormatting>
  <conditionalFormatting sqref="M33">
    <cfRule type="cellIs" priority="12" operator="lessThan" aboveAverage="0" equalAverage="0" bottom="0" percent="0" rank="0" text="" dxfId="5">
      <formula>0</formula>
    </cfRule>
  </conditionalFormatting>
  <conditionalFormatting sqref="N33">
    <cfRule type="cellIs" priority="13" operator="lessThan" aboveAverage="0" equalAverage="0" bottom="0" percent="0" rank="0" text="" dxfId="5">
      <formula>0</formula>
    </cfRule>
  </conditionalFormatting>
  <conditionalFormatting sqref="O33">
    <cfRule type="cellIs" priority="14" operator="lessThan" aboveAverage="0" equalAverage="0" bottom="0" percent="0" rank="0" text="" dxfId="5">
      <formula>0</formula>
    </cfRule>
  </conditionalFormatting>
  <conditionalFormatting sqref="P33">
    <cfRule type="cellIs" priority="15" operator="lessThan" aboveAverage="0" equalAverage="0" bottom="0" percent="0" rank="0" text="" dxfId="5">
      <formula>0</formula>
    </cfRule>
  </conditionalFormatting>
  <conditionalFormatting sqref="Q33">
    <cfRule type="cellIs" priority="16" operator="lessThan" aboveAverage="0" equalAverage="0" bottom="0" percent="0" rank="0" text="" dxfId="5">
      <formula>0</formula>
    </cfRule>
  </conditionalFormatting>
  <conditionalFormatting sqref="R33">
    <cfRule type="cellIs" priority="17" operator="lessThan" aboveAverage="0" equalAverage="0" bottom="0" percent="0" rank="0" text="" dxfId="5">
      <formula>0</formula>
    </cfRule>
  </conditionalFormatting>
  <conditionalFormatting sqref="S33">
    <cfRule type="cellIs" priority="18" operator="lessThan" aboveAverage="0" equalAverage="0" bottom="0" percent="0" rank="0" text="" dxfId="5">
      <formula>0</formula>
    </cfRule>
  </conditionalFormatting>
  <conditionalFormatting sqref="T33">
    <cfRule type="cellIs" priority="19" operator="lessThan" aboveAverage="0" equalAverage="0" bottom="0" percent="0" rank="0" text="" dxfId="5">
      <formula>0</formula>
    </cfRule>
  </conditionalFormatting>
  <conditionalFormatting sqref="U33">
    <cfRule type="cellIs" priority="20" operator="lessThan" aboveAverage="0" equalAverage="0" bottom="0" percent="0" rank="0" text="" dxfId="5">
      <formula>0</formula>
    </cfRule>
  </conditionalFormatting>
  <conditionalFormatting sqref="V33">
    <cfRule type="cellIs" priority="21" operator="lessThan" aboveAverage="0" equalAverage="0" bottom="0" percent="0" rank="0" text="" dxfId="5">
      <formula>0</formula>
    </cfRule>
  </conditionalFormatting>
  <conditionalFormatting sqref="W33">
    <cfRule type="cellIs" priority="22" operator="lessThan" aboveAverage="0" equalAverage="0" bottom="0" percent="0" rank="0" text="" dxfId="5">
      <formula>0</formula>
    </cfRule>
  </conditionalFormatting>
  <conditionalFormatting sqref="X33">
    <cfRule type="cellIs" priority="23" operator="lessThan" aboveAverage="0" equalAverage="0" bottom="0" percent="0" rank="0" text="" dxfId="5">
      <formula>0</formula>
    </cfRule>
  </conditionalFormatting>
  <conditionalFormatting sqref="Y33">
    <cfRule type="cellIs" priority="24" operator="lessThan" aboveAverage="0" equalAverage="0" bottom="0" percent="0" rank="0" text="" dxfId="5">
      <formula>0</formula>
    </cfRule>
  </conditionalFormatting>
  <conditionalFormatting sqref="Z33">
    <cfRule type="cellIs" priority="25" operator="lessThan" aboveAverage="0" equalAverage="0" bottom="0" percent="0" rank="0" text="" dxfId="5">
      <formula>0</formula>
    </cfRule>
  </conditionalFormatting>
  <conditionalFormatting sqref="C37">
    <cfRule type="cellIs" priority="26" operator="greaterThan" aboveAverage="0" equalAverage="0" bottom="0" percent="0" rank="0" text="" dxfId="6">
      <formula>0</formula>
    </cfRule>
    <cfRule type="cellIs" priority="27" operator="lessThanOrEqual" aboveAverage="0" equalAverage="0" bottom="0" percent="0" rank="0" text="" dxfId="7">
      <formula>0</formula>
    </cfRule>
  </conditionalFormatting>
  <conditionalFormatting sqref="C38">
    <cfRule type="expression" priority="28" aboveAverage="0" equalAverage="0" bottom="0" percent="0" rank="0" text="" dxfId="6">
      <formula>C38&gt;CHOOSE($C$6,'1. Assumptions'!C35,'1. Assumptions'!D35,'1. Assumptions'!E35)</formula>
    </cfRule>
    <cfRule type="expression" priority="29" aboveAverage="0" equalAverage="0" bottom="0" percent="0" rank="0" text="" dxfId="7">
      <formula>C38&lt;=CHOOSE($C$6,'1. Assumptions'!C35,'1. Assumptions'!D35,'1. Assumptions'!E35)</formula>
    </cfRule>
  </conditionalFormatting>
  <conditionalFormatting sqref="C40">
    <cfRule type="expression" priority="30" aboveAverage="0" equalAverage="0" bottom="0" percent="0" rank="0" text="" dxfId="7">
      <formula>AND(ISNUMBER(C40),C40&lt;12)</formula>
    </cfRule>
  </conditionalFormatting>
  <dataValidations count="1">
    <dataValidation allowBlank="false" errorStyle="stop" operator="between" showDropDown="false" showErrorMessage="false" showInputMessage="false" sqref="C4" type="list">
      <formula1>"Optimistic,Base,Pessimistic"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2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2026-05-03T22:07:00Z</dcterms:created>
  <dc:creator>Huỳnh Thị Hải Châu</dc:creator>
  <dc:description/>
  <dc:language>en-US</dc:language>
  <cp:lastModifiedBy>Huỳnh Thị Hải Châu</cp:lastModifiedBy>
  <dcterms:modified xsi:type="dcterms:W3CDTF">2026-08-26T04:45:12Z</dcterms:modified>
  <cp:revision>0</cp:revision>
  <dc:subject/>
  <dc:title>P-053 ViVi AI Agent - Day 24 Financial Model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9F7AB3F7979B97FA0967F869EA163140_42</vt:lpwstr>
  </property>
  <property fmtid="{D5CDD505-2E9C-101B-9397-08002B2CF9AE}" pid="3" name="KSOProductBuildVer">
    <vt:lpwstr>1033-12.1.23135.23135</vt:lpwstr>
  </property>
</Properties>
</file>